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运营推广计划表" sheetId="1" r:id="rId1"/>
    <sheet name="首批与返单囤货数量预测表" sheetId="2" r:id="rId2"/>
    <sheet name="毛利测算表-US" sheetId="3" r:id="rId3"/>
    <sheet name="毛利测算表-UK" sheetId="4" state="hidden" r:id="rId4"/>
    <sheet name="毛利测算表-DE" sheetId="5" state="hidden" r:id="rId5"/>
    <sheet name="毛利测算表-IT" sheetId="7" state="hidden" r:id="rId6"/>
    <sheet name="毛利测算表-ES" sheetId="8" state="hidden" r:id="rId7"/>
    <sheet name="价格策略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F2" authorId="0">
      <text>
        <r>
          <rPr>
            <sz val="9"/>
            <color rgb="FF000000"/>
            <rFont val="宋体"/>
            <charset val="134"/>
          </rPr>
          <t>seamoon ao:
定价目标，由运营人员根据阶段定价策划确定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3" authorId="0">
      <text>
        <r>
          <rPr>
            <b/>
            <sz val="9"/>
            <color rgb="FF000000"/>
            <rFont val="宋体"/>
            <charset val="134"/>
          </rPr>
          <t>zbird:</t>
        </r>
        <r>
          <rPr>
            <sz val="9"/>
            <color rgb="FF000000"/>
            <rFont val="宋体"/>
            <charset val="134"/>
          </rPr>
          <t xml:space="preserve">
开始售卖的第一天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N3" authorId="0">
      <text>
        <r>
          <rPr>
            <b/>
            <sz val="9"/>
            <color rgb="FF000000"/>
            <rFont val="宋体"/>
            <charset val="134"/>
          </rPr>
          <t>zbird:</t>
        </r>
        <r>
          <rPr>
            <sz val="9"/>
            <color rgb="FF000000"/>
            <rFont val="宋体"/>
            <charset val="134"/>
          </rPr>
          <t xml:space="preserve">
有两周的实际销量后，对应的日销需要填写实际的日销，同时后续的日销需要重新预估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sharedStrings.xml><?xml version="1.0" encoding="utf-8"?>
<sst xmlns="http://schemas.openxmlformats.org/spreadsheetml/2006/main" count="782" uniqueCount="277">
  <si>
    <t>亚马逊新品利润预算表</t>
  </si>
  <si>
    <t>单个头程计算表</t>
  </si>
  <si>
    <t>料号</t>
  </si>
  <si>
    <t>SKU</t>
  </si>
  <si>
    <t>产品排名目标</t>
  </si>
  <si>
    <t>Top 300</t>
  </si>
  <si>
    <t>Top120</t>
  </si>
  <si>
    <t>外箱尺寸（inch）</t>
  </si>
  <si>
    <t>品名</t>
  </si>
  <si>
    <t>ASIN</t>
  </si>
  <si>
    <t>产品销量目标</t>
  </si>
  <si>
    <t>10单/天</t>
  </si>
  <si>
    <t>20单/天</t>
  </si>
  <si>
    <t>外箱尺寸（cm）</t>
  </si>
  <si>
    <t>原币</t>
  </si>
  <si>
    <t>美元</t>
  </si>
  <si>
    <t>汇率</t>
  </si>
  <si>
    <t>预计达成时间</t>
  </si>
  <si>
    <t>第2个月</t>
  </si>
  <si>
    <t>第4个月</t>
  </si>
  <si>
    <t>体积</t>
  </si>
  <si>
    <t>币别</t>
  </si>
  <si>
    <t>人民币（元）</t>
  </si>
  <si>
    <t>重量（kg）</t>
  </si>
  <si>
    <t>销售期间</t>
  </si>
  <si>
    <t>推广期</t>
  </si>
  <si>
    <t>盈利期</t>
  </si>
  <si>
    <t>总合计</t>
  </si>
  <si>
    <t>备注</t>
  </si>
  <si>
    <t>体积重</t>
  </si>
  <si>
    <t>类目           产品链接</t>
  </si>
  <si>
    <t>第1月</t>
  </si>
  <si>
    <t>第2月</t>
  </si>
  <si>
    <t>第3月及以后</t>
  </si>
  <si>
    <t>物流价格/kg</t>
  </si>
  <si>
    <t>收入</t>
  </si>
  <si>
    <t>刷单数量</t>
  </si>
  <si>
    <t>预估刷单单量</t>
  </si>
  <si>
    <t>单个运费</t>
  </si>
  <si>
    <t>正常销量</t>
  </si>
  <si>
    <t>预估正常销量（不包含刷单单量），需要通过囤货计划中的销量预估，公式会自动汇总</t>
  </si>
  <si>
    <t>单项数量</t>
  </si>
  <si>
    <t>汇总销量</t>
  </si>
  <si>
    <t>预估销量（包含刷单单量）</t>
  </si>
  <si>
    <t>单个头程</t>
  </si>
  <si>
    <t>不含税售价（人民币）</t>
  </si>
  <si>
    <t>product sales价格</t>
  </si>
  <si>
    <t>空运</t>
  </si>
  <si>
    <t>红单</t>
  </si>
  <si>
    <t>海运</t>
  </si>
  <si>
    <t>销售税率</t>
  </si>
  <si>
    <t>product sales tax税率，欧洲站20%，美国站0%</t>
  </si>
  <si>
    <t>产品包装信息</t>
  </si>
  <si>
    <t>含税售价(美元或其他货币）</t>
  </si>
  <si>
    <t>亚马逊上的售价</t>
  </si>
  <si>
    <t>彩盒尺寸（cm)</t>
  </si>
  <si>
    <t>包裹重量(KG)</t>
  </si>
  <si>
    <t>含税售价（人民币）</t>
  </si>
  <si>
    <t>退款率</t>
  </si>
  <si>
    <t>预估退款率</t>
  </si>
  <si>
    <t>各费用占比</t>
  </si>
  <si>
    <t>不含税销售额（人民币）</t>
  </si>
  <si>
    <t>阶段</t>
  </si>
  <si>
    <t>含税销售额（人民币）</t>
  </si>
  <si>
    <t>营销占比</t>
  </si>
  <si>
    <t>成本</t>
  </si>
  <si>
    <t>产品成本单价（人民币）</t>
  </si>
  <si>
    <t>站内促销营销比</t>
  </si>
  <si>
    <t>总成本（人民币）</t>
  </si>
  <si>
    <t>站外营销比</t>
  </si>
  <si>
    <t>毛利</t>
  </si>
  <si>
    <t>毛利额（人民币）</t>
  </si>
  <si>
    <t>不含税销售额减去产品总成本</t>
  </si>
  <si>
    <t>成本比</t>
  </si>
  <si>
    <t>毛利率</t>
  </si>
  <si>
    <t>物流费用比例</t>
  </si>
  <si>
    <t>站内促销费用</t>
  </si>
  <si>
    <t>LD次数</t>
  </si>
  <si>
    <t>每月预计秒杀次数</t>
  </si>
  <si>
    <t>佣金比</t>
  </si>
  <si>
    <t>7DD次数</t>
  </si>
  <si>
    <t>每月预计7天促销次数</t>
  </si>
  <si>
    <t>FBA配送费比</t>
  </si>
  <si>
    <t>Coupon</t>
  </si>
  <si>
    <t>优惠券的优惠金额数或者百分比</t>
  </si>
  <si>
    <t>其他费用</t>
  </si>
  <si>
    <t>Coupon Rate（使用率）</t>
  </si>
  <si>
    <t>优惠券使用率=Coupon兑换数/总订单,第一次制作的时候需要预估，有两周的数据后可以实际计算；</t>
  </si>
  <si>
    <t>退款</t>
  </si>
  <si>
    <t>Prime Discount（折扣）</t>
  </si>
  <si>
    <t>会员专项折扣百分比</t>
  </si>
  <si>
    <t>净利率</t>
  </si>
  <si>
    <t>总计（人民币）</t>
  </si>
  <si>
    <t>请注意修改个站点LD,7DD的价格，参考右下方的价格信息</t>
  </si>
  <si>
    <t>站内预估数据</t>
  </si>
  <si>
    <t>CPC（预估）(美元或其他货币）</t>
  </si>
  <si>
    <t>参考类似产品历史数据或者卖家精灵，对CPC值做预估</t>
  </si>
  <si>
    <t>转化率（预估）</t>
  </si>
  <si>
    <t>结合后台商品探测器的类目关键词转化率和产品本身，对产品做出转化率预估</t>
  </si>
  <si>
    <t>US</t>
  </si>
  <si>
    <t>广告订单成本（每单）(美元或其他货币）</t>
  </si>
  <si>
    <t>每个广告订单所需要的广告费</t>
  </si>
  <si>
    <t>EU</t>
  </si>
  <si>
    <t>广告订单占比（预估）</t>
  </si>
  <si>
    <t>整月广告订单占比的预估值</t>
  </si>
  <si>
    <t>UK</t>
  </si>
  <si>
    <t>广告订单营销比（Acos）</t>
  </si>
  <si>
    <t>费用</t>
  </si>
  <si>
    <t>站内推广费（人民币）</t>
  </si>
  <si>
    <t>站内促销费用明细（当地货币）</t>
  </si>
  <si>
    <t>站内推广费（美金）</t>
  </si>
  <si>
    <t>站点</t>
  </si>
  <si>
    <t>LD</t>
  </si>
  <si>
    <t>7DD</t>
  </si>
  <si>
    <t>广告营销比=ACOS*广告订单占比</t>
  </si>
  <si>
    <t>平台佣金（人民币）</t>
  </si>
  <si>
    <t>DE</t>
  </si>
  <si>
    <t>平台佣金比例</t>
  </si>
  <si>
    <t>FBA配送费（美元或其他货币）</t>
  </si>
  <si>
    <t>IT/FR/ES</t>
  </si>
  <si>
    <t>FBA配送费（人民币）</t>
  </si>
  <si>
    <t>单个产品FBA配送费</t>
  </si>
  <si>
    <t>FBA配送费（总）（人民币）</t>
  </si>
  <si>
    <t>平台及其他费用</t>
  </si>
  <si>
    <t>包含站内订阅、仓储、弃置等，可以按照2%计算</t>
  </si>
  <si>
    <t>单个头程及海外仓费(人民币）</t>
  </si>
  <si>
    <t>单个产品头程及海外仓费，头程费按以下方法预估</t>
  </si>
  <si>
    <t>头程及海外仓费（总）</t>
  </si>
  <si>
    <t>测评佣金（红包，人民币）</t>
  </si>
  <si>
    <t>单个产品营销佣金（红包）</t>
  </si>
  <si>
    <t>测评费用（总）</t>
  </si>
  <si>
    <t>站外红人等推广费及其他报销（人民币）</t>
  </si>
  <si>
    <t>站外所有推广费及报销费用</t>
  </si>
  <si>
    <t>费用总额</t>
  </si>
  <si>
    <t>总费用占比</t>
  </si>
  <si>
    <t>利润</t>
  </si>
  <si>
    <t>净毛利额（人民币）</t>
  </si>
  <si>
    <t>净毛利率</t>
  </si>
  <si>
    <t>填表说明：</t>
  </si>
  <si>
    <t>绿底为必填项，非绿底的是自动计算项，欧洲站的销售税率设定为20%，美国站销售税率设定为0%。</t>
  </si>
  <si>
    <t>头程费预估：先核算出各种物流方式的单位头程费，再测算每个阶段红单比重、空派比重、海运比重，最后核算出相应阶段的综合单位头程费。
公式：单位综合头程费=单位红单头程费*红单比重+单位空运头程费*空运比重+单位海运头程费*海运比重。（红单比重+空运比重+海运比重=1）</t>
  </si>
  <si>
    <t>销售价格预估：平台订单价格按同类同级别产品的市场价估算。</t>
  </si>
  <si>
    <t>总结</t>
  </si>
  <si>
    <t>月份</t>
  </si>
  <si>
    <t>月销量</t>
  </si>
  <si>
    <t>月销售额（RMB）</t>
  </si>
  <si>
    <t>广告费</t>
  </si>
  <si>
    <t>广销比</t>
  </si>
  <si>
    <t>净利润（RMB)</t>
  </si>
  <si>
    <t>第1个月</t>
  </si>
  <si>
    <t>第3个月</t>
  </si>
  <si>
    <t>欢迎扫码联系顾问咨询详情</t>
  </si>
  <si>
    <t>日期</t>
  </si>
  <si>
    <t>周</t>
  </si>
  <si>
    <t>天数</t>
  </si>
  <si>
    <t>客单价</t>
  </si>
  <si>
    <t>日总单量
（预计）</t>
  </si>
  <si>
    <t>当前库存</t>
  </si>
  <si>
    <t>预计剩余库存</t>
  </si>
  <si>
    <t>到货库存</t>
  </si>
  <si>
    <t>13周销量计划</t>
  </si>
  <si>
    <t>第一月</t>
  </si>
  <si>
    <t>第一周</t>
  </si>
  <si>
    <t>销售时间</t>
  </si>
  <si>
    <t>预计达到排名</t>
  </si>
  <si>
    <t>日销</t>
  </si>
  <si>
    <t>下单总量</t>
  </si>
  <si>
    <t>第二周</t>
  </si>
  <si>
    <t>第三周</t>
  </si>
  <si>
    <t>第四周</t>
  </si>
  <si>
    <t>第五周</t>
  </si>
  <si>
    <t>第六周</t>
  </si>
  <si>
    <t>第七周</t>
  </si>
  <si>
    <t>第八周</t>
  </si>
  <si>
    <t>第九周</t>
  </si>
  <si>
    <t>第十周</t>
  </si>
  <si>
    <t>第十一周</t>
  </si>
  <si>
    <t>第十二周</t>
  </si>
  <si>
    <t>第十三周</t>
  </si>
  <si>
    <t>汇总</t>
  </si>
  <si>
    <t>首批+返单下单计划</t>
  </si>
  <si>
    <t>批次</t>
  </si>
  <si>
    <t>下单量</t>
  </si>
  <si>
    <t>物流时效</t>
  </si>
  <si>
    <t>物流渠道</t>
  </si>
  <si>
    <t>产品交期</t>
  </si>
  <si>
    <t>下单时间</t>
  </si>
  <si>
    <t>付款金额</t>
  </si>
  <si>
    <t>交货时间</t>
  </si>
  <si>
    <t>国内离港时间</t>
  </si>
  <si>
    <t>到货时间</t>
  </si>
  <si>
    <t>首批</t>
  </si>
  <si>
    <t>慢船时效</t>
  </si>
  <si>
    <t>返单</t>
  </si>
  <si>
    <t>第三批</t>
  </si>
  <si>
    <t>第四批</t>
  </si>
  <si>
    <t>基础信息</t>
  </si>
  <si>
    <t>产品交期/天</t>
  </si>
  <si>
    <t>天</t>
  </si>
  <si>
    <t>人民币</t>
  </si>
  <si>
    <t>快递时效</t>
  </si>
  <si>
    <t>快船时效</t>
  </si>
  <si>
    <t>空运时效</t>
  </si>
  <si>
    <t>第二月</t>
  </si>
  <si>
    <t>卡航</t>
  </si>
  <si>
    <t>单次补货维持天数</t>
  </si>
  <si>
    <t>交货后国内处理时间</t>
  </si>
  <si>
    <t>第三月</t>
  </si>
  <si>
    <t>利润核算表（海运）</t>
  </si>
  <si>
    <t>利润核算表（空运）</t>
  </si>
  <si>
    <t>利润核算表（快递）</t>
  </si>
  <si>
    <t>售价阶梯</t>
  </si>
  <si>
    <t>成本结构</t>
  </si>
  <si>
    <t>采购成本</t>
  </si>
  <si>
    <t>采购占比</t>
  </si>
  <si>
    <t>头程运费</t>
  </si>
  <si>
    <t>头程占比</t>
  </si>
  <si>
    <t>FBA费用</t>
  </si>
  <si>
    <t>交易佣金</t>
  </si>
  <si>
    <t>仓租（淡/旺）</t>
  </si>
  <si>
    <t>广告费用</t>
  </si>
  <si>
    <t>汇率折损</t>
  </si>
  <si>
    <t>退款费用</t>
  </si>
  <si>
    <t>VAT税</t>
  </si>
  <si>
    <t>头程运输</t>
  </si>
  <si>
    <t>设定售价</t>
  </si>
  <si>
    <t>美金</t>
  </si>
  <si>
    <t>海运成本</t>
  </si>
  <si>
    <t>空派成本</t>
  </si>
  <si>
    <t>DHL成本</t>
  </si>
  <si>
    <t>长</t>
  </si>
  <si>
    <t>厘米</t>
  </si>
  <si>
    <t>宽</t>
  </si>
  <si>
    <t>高</t>
  </si>
  <si>
    <t>产品实重</t>
  </si>
  <si>
    <t>千克</t>
  </si>
  <si>
    <t>海运体积重</t>
  </si>
  <si>
    <t>渠道</t>
  </si>
  <si>
    <t>实时价格</t>
  </si>
  <si>
    <t>海运价格</t>
  </si>
  <si>
    <t>元/KG</t>
  </si>
  <si>
    <t>空派价格</t>
  </si>
  <si>
    <t>UPS快递价格</t>
  </si>
  <si>
    <t>FBA配送费</t>
  </si>
  <si>
    <t>利润核算表（快船）</t>
  </si>
  <si>
    <t>英镑</t>
  </si>
  <si>
    <t>卡航价格</t>
  </si>
  <si>
    <t>欧罗</t>
  </si>
  <si>
    <t>成本(¥)</t>
  </si>
  <si>
    <t>头程(¥)</t>
  </si>
  <si>
    <t>配送费($）</t>
  </si>
  <si>
    <t>新品期价格</t>
  </si>
  <si>
    <t>正常</t>
  </si>
  <si>
    <t>售价</t>
  </si>
  <si>
    <t>头程</t>
  </si>
  <si>
    <t>佣金
（美金）成交价的15%</t>
  </si>
  <si>
    <t>配送费
（美金）</t>
  </si>
  <si>
    <t>毛利润率</t>
  </si>
  <si>
    <t>总订单</t>
  </si>
  <si>
    <t>正常订单</t>
  </si>
  <si>
    <t>总销售额</t>
  </si>
  <si>
    <t>总毛利</t>
  </si>
  <si>
    <t>退款损失</t>
  </si>
  <si>
    <t>优惠券使用利润</t>
  </si>
  <si>
    <t>优惠券/促销</t>
  </si>
  <si>
    <t>佣金
（美金）</t>
  </si>
  <si>
    <t>优惠券费用</t>
  </si>
  <si>
    <t>优惠券使用率</t>
  </si>
  <si>
    <t>日均订单</t>
  </si>
  <si>
    <t>周期</t>
  </si>
  <si>
    <t>退款费</t>
  </si>
  <si>
    <t>净利</t>
  </si>
  <si>
    <t>日</t>
  </si>
  <si>
    <t>旬</t>
  </si>
  <si>
    <t>半月</t>
  </si>
  <si>
    <t>月</t>
  </si>
  <si>
    <t>成熟期价格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</si>
</sst>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&quot;$&quot;#,##0.00_);[Red]\(&quot;$&quot;#,##0.00\)"/>
    <numFmt numFmtId="178" formatCode="0.00_ "/>
    <numFmt numFmtId="179" formatCode="0_ "/>
    <numFmt numFmtId="180" formatCode="#,##0.00_ "/>
    <numFmt numFmtId="181" formatCode="\$#,##0"/>
    <numFmt numFmtId="182" formatCode="&quot;$&quot;#,##0.00;\-&quot;$&quot;#,##0.00"/>
    <numFmt numFmtId="183" formatCode="#,##0.00\ &quot;€&quot;_);[Red]\(#,##0.00\ &quot;€&quot;\)"/>
    <numFmt numFmtId="184" formatCode="&quot;￥&quot;#,##0.00_);[Red]\(&quot;￥&quot;#,##0.00\)"/>
    <numFmt numFmtId="185" formatCode="[$£-809]#,##0.00;\-[$£-809]#,##0.00"/>
    <numFmt numFmtId="186" formatCode="[$£-809]#,##0.00_);[Red]\([$£-809]#,##0.00\)"/>
    <numFmt numFmtId="187" formatCode="0_);[Red]\(0\)"/>
    <numFmt numFmtId="188" formatCode="yyyy/m/d;@"/>
    <numFmt numFmtId="189" formatCode="#,##0.000_ "/>
    <numFmt numFmtId="190" formatCode="#,##0.0_ "/>
    <numFmt numFmtId="191" formatCode="0.0_);[Red]\(0.0\)"/>
    <numFmt numFmtId="192" formatCode="#,##0_ "/>
    <numFmt numFmtId="193" formatCode="0.0%"/>
    <numFmt numFmtId="194" formatCode="0.000%"/>
  </numFmts>
  <fonts count="54">
    <font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26"/>
      <color rgb="FF000000"/>
      <name val="微软雅黑"/>
      <charset val="134"/>
    </font>
    <font>
      <sz val="14"/>
      <color rgb="FF000000"/>
      <name val="微软雅黑"/>
      <charset val="134"/>
    </font>
    <font>
      <sz val="20"/>
      <color theme="1"/>
      <name val="楷体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b/>
      <sz val="14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6"/>
      <color rgb="FFFF0000"/>
      <name val="微软雅黑"/>
      <charset val="134"/>
    </font>
    <font>
      <b/>
      <sz val="14"/>
      <color rgb="FFFFFFFF"/>
      <name val="微软雅黑"/>
      <charset val="134"/>
    </font>
    <font>
      <b/>
      <sz val="12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C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3F3F3F"/>
      <name val="微软雅黑"/>
      <charset val="134"/>
    </font>
    <font>
      <b/>
      <sz val="20"/>
      <color rgb="FF3F3F3F"/>
      <name val="微软雅黑"/>
      <charset val="134"/>
    </font>
    <font>
      <sz val="10"/>
      <color rgb="FF000000"/>
      <name val="等线"/>
      <charset val="134"/>
    </font>
    <font>
      <b/>
      <sz val="15"/>
      <color rgb="FF000000"/>
      <name val="微软雅黑"/>
      <charset val="134"/>
    </font>
    <font>
      <sz val="10"/>
      <color rgb="FFC55A11"/>
      <name val="微软雅黑"/>
      <charset val="134"/>
    </font>
    <font>
      <b/>
      <sz val="10"/>
      <color rgb="FFC55A11"/>
      <name val="微软雅黑"/>
      <charset val="134"/>
    </font>
    <font>
      <b/>
      <sz val="15"/>
      <color rgb="FFC00000"/>
      <name val="微软雅黑"/>
      <charset val="134"/>
    </font>
    <font>
      <sz val="10"/>
      <color rgb="FFC00000"/>
      <name val="微软雅黑"/>
      <charset val="134"/>
    </font>
    <font>
      <b/>
      <sz val="10"/>
      <color rgb="FFFF0000"/>
      <name val="宋体"/>
      <charset val="134"/>
    </font>
    <font>
      <b/>
      <sz val="10"/>
      <color rgb="FF70AD47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9"/>
      <color rgb="FF00000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 diagonalDown="1"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 style="thin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9" borderId="4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5" applyNumberFormat="0" applyFill="0" applyAlignment="0" applyProtection="0">
      <alignment vertical="center"/>
    </xf>
    <xf numFmtId="0" fontId="38" fillId="0" borderId="4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0" borderId="47" applyNumberFormat="0" applyAlignment="0" applyProtection="0">
      <alignment vertical="center"/>
    </xf>
    <xf numFmtId="0" fontId="40" fillId="21" borderId="48" applyNumberFormat="0" applyAlignment="0" applyProtection="0">
      <alignment vertical="center"/>
    </xf>
    <xf numFmtId="0" fontId="41" fillId="21" borderId="47" applyNumberFormat="0" applyAlignment="0" applyProtection="0">
      <alignment vertical="center"/>
    </xf>
    <xf numFmtId="0" fontId="42" fillId="22" borderId="49" applyNumberFormat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4" fillId="0" borderId="51" applyNumberFormat="0" applyFill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81" fontId="9" fillId="3" borderId="0" xfId="0" applyNumberFormat="1" applyFont="1" applyFill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/>
    </xf>
    <xf numFmtId="0" fontId="8" fillId="0" borderId="3" xfId="0" applyFont="1" applyBorder="1" applyAlignment="1"/>
    <xf numFmtId="182" fontId="2" fillId="5" borderId="1" xfId="0" applyNumberFormat="1" applyFont="1" applyFill="1" applyBorder="1" applyAlignment="1">
      <alignment horizontal="center" vertical="center"/>
    </xf>
    <xf numFmtId="182" fontId="11" fillId="6" borderId="2" xfId="0" applyNumberFormat="1" applyFont="1" applyFill="1" applyBorder="1" applyAlignment="1">
      <alignment horizontal="center" vertical="center"/>
    </xf>
    <xf numFmtId="182" fontId="11" fillId="6" borderId="3" xfId="0" applyNumberFormat="1" applyFont="1" applyFill="1" applyBorder="1" applyAlignment="1">
      <alignment horizontal="center" vertical="center"/>
    </xf>
    <xf numFmtId="182" fontId="2" fillId="7" borderId="1" xfId="0" applyNumberFormat="1" applyFont="1" applyFill="1" applyBorder="1" applyAlignment="1">
      <alignment horizontal="center" vertical="center"/>
    </xf>
    <xf numFmtId="182" fontId="2" fillId="7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182" fontId="2" fillId="8" borderId="1" xfId="0" applyNumberFormat="1" applyFont="1" applyFill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182" fontId="2" fillId="9" borderId="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7" fontId="9" fillId="0" borderId="1" xfId="0" applyNumberFormat="1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82" fontId="2" fillId="2" borderId="1" xfId="0" applyNumberFormat="1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left" vertical="center"/>
    </xf>
    <xf numFmtId="183" fontId="2" fillId="0" borderId="1" xfId="0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84" fontId="2" fillId="2" borderId="1" xfId="0" applyNumberFormat="1" applyFont="1" applyFill="1" applyBorder="1" applyAlignment="1">
      <alignment horizontal="center" vertical="center"/>
    </xf>
    <xf numFmtId="183" fontId="11" fillId="2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8" fillId="0" borderId="5" xfId="0" applyFont="1" applyBorder="1" applyAlignment="1"/>
    <xf numFmtId="182" fontId="11" fillId="6" borderId="5" xfId="0" applyNumberFormat="1" applyFont="1" applyFill="1" applyBorder="1" applyAlignment="1">
      <alignment horizontal="center" vertical="center"/>
    </xf>
    <xf numFmtId="182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82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82" fontId="2" fillId="7" borderId="1" xfId="0" applyNumberFormat="1" applyFont="1" applyFill="1" applyBorder="1">
      <alignment vertical="center"/>
    </xf>
    <xf numFmtId="183" fontId="2" fillId="0" borderId="1" xfId="0" applyNumberFormat="1" applyFont="1" applyBorder="1" applyAlignment="1">
      <alignment horizontal="center" vertical="center"/>
    </xf>
    <xf numFmtId="183" fontId="2" fillId="8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left" vertical="center"/>
    </xf>
    <xf numFmtId="184" fontId="2" fillId="2" borderId="1" xfId="0" applyNumberFormat="1" applyFont="1" applyFill="1" applyBorder="1" applyAlignment="1">
      <alignment horizontal="left" vertical="center"/>
    </xf>
    <xf numFmtId="183" fontId="11" fillId="2" borderId="1" xfId="0" applyNumberFormat="1" applyFont="1" applyFill="1" applyBorder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85" fontId="2" fillId="0" borderId="1" xfId="0" applyNumberFormat="1" applyFont="1" applyBorder="1" applyAlignment="1">
      <alignment horizontal="center" vertical="center"/>
    </xf>
    <xf numFmtId="185" fontId="2" fillId="8" borderId="1" xfId="0" applyNumberFormat="1" applyFont="1" applyFill="1" applyBorder="1" applyAlignment="1">
      <alignment horizontal="center" vertical="center"/>
    </xf>
    <xf numFmtId="185" fontId="2" fillId="9" borderId="1" xfId="0" applyNumberFormat="1" applyFont="1" applyFill="1" applyBorder="1" applyAlignment="1">
      <alignment horizontal="center" vertical="center"/>
    </xf>
    <xf numFmtId="186" fontId="12" fillId="0" borderId="1" xfId="0" applyNumberFormat="1" applyFont="1" applyBorder="1" applyAlignment="1">
      <alignment horizontal="center" vertical="center"/>
    </xf>
    <xf numFmtId="186" fontId="2" fillId="0" borderId="1" xfId="0" applyNumberFormat="1" applyFont="1" applyBorder="1" applyAlignment="1">
      <alignment horizontal="left" vertical="center"/>
    </xf>
    <xf numFmtId="186" fontId="11" fillId="2" borderId="1" xfId="0" applyNumberFormat="1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177" fontId="12" fillId="0" borderId="1" xfId="0" applyNumberFormat="1" applyFont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left" vertical="center"/>
    </xf>
    <xf numFmtId="0" fontId="9" fillId="12" borderId="1" xfId="0" applyFont="1" applyFill="1" applyBorder="1" applyAlignment="1" applyProtection="1">
      <alignment horizontal="center" vertical="center"/>
      <protection hidden="1"/>
    </xf>
    <xf numFmtId="178" fontId="9" fillId="12" borderId="1" xfId="0" applyNumberFormat="1" applyFont="1" applyFill="1" applyBorder="1" applyAlignment="1" applyProtection="1">
      <alignment horizontal="center" vertical="center"/>
      <protection hidden="1"/>
    </xf>
    <xf numFmtId="0" fontId="9" fillId="12" borderId="1" xfId="0" applyFont="1" applyFill="1" applyBorder="1" applyAlignment="1" applyProtection="1">
      <alignment horizontal="center" vertical="center" wrapText="1"/>
      <protection hidden="1"/>
    </xf>
    <xf numFmtId="14" fontId="2" fillId="2" borderId="1" xfId="0" applyNumberFormat="1" applyFont="1" applyFill="1" applyBorder="1" applyAlignment="1" applyProtection="1">
      <alignment horizontal="center" vertical="center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87" fontId="2" fillId="0" borderId="1" xfId="0" applyNumberFormat="1" applyFont="1" applyBorder="1" applyAlignment="1" applyProtection="1">
      <alignment horizontal="center" vertical="center"/>
      <protection hidden="1"/>
    </xf>
    <xf numFmtId="178" fontId="2" fillId="0" borderId="1" xfId="0" applyNumberFormat="1" applyFont="1" applyBorder="1" applyAlignment="1" applyProtection="1">
      <alignment horizontal="center" vertical="center"/>
      <protection hidden="1"/>
    </xf>
    <xf numFmtId="179" fontId="2" fillId="0" borderId="1" xfId="0" applyNumberFormat="1" applyFont="1" applyBorder="1" applyAlignment="1" applyProtection="1">
      <alignment horizontal="center" vertical="center"/>
      <protection hidden="1"/>
    </xf>
    <xf numFmtId="0" fontId="13" fillId="13" borderId="2" xfId="0" applyFont="1" applyFill="1" applyBorder="1" applyAlignment="1" applyProtection="1">
      <alignment horizontal="center" vertical="center"/>
      <protection hidden="1"/>
    </xf>
    <xf numFmtId="0" fontId="13" fillId="13" borderId="3" xfId="0" applyFont="1" applyFill="1" applyBorder="1" applyAlignment="1" applyProtection="1">
      <alignment horizontal="center" vertical="center"/>
      <protection hidden="1"/>
    </xf>
    <xf numFmtId="0" fontId="13" fillId="13" borderId="5" xfId="0" applyFont="1" applyFill="1" applyBorder="1" applyAlignment="1" applyProtection="1">
      <alignment horizontal="center" vertical="center"/>
      <protection hidden="1"/>
    </xf>
    <xf numFmtId="179" fontId="2" fillId="2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179" fontId="9" fillId="12" borderId="1" xfId="0" applyNumberFormat="1" applyFont="1" applyFill="1" applyBorder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center" vertical="center"/>
    </xf>
    <xf numFmtId="179" fontId="2" fillId="12" borderId="1" xfId="0" applyNumberFormat="1" applyFont="1" applyFill="1" applyBorder="1" applyAlignment="1" applyProtection="1">
      <alignment horizontal="center" vertical="center"/>
      <protection hidden="1"/>
    </xf>
    <xf numFmtId="14" fontId="3" fillId="2" borderId="1" xfId="0" applyNumberFormat="1" applyFont="1" applyFill="1" applyBorder="1" applyAlignment="1">
      <alignment horizontal="center" vertical="center"/>
    </xf>
    <xf numFmtId="188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8" fontId="14" fillId="2" borderId="1" xfId="0" applyNumberFormat="1" applyFont="1" applyFill="1" applyBorder="1" applyAlignment="1">
      <alignment horizontal="center" vertical="center"/>
    </xf>
    <xf numFmtId="188" fontId="3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89" fontId="15" fillId="0" borderId="0" xfId="0" applyNumberFormat="1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189" fontId="20" fillId="15" borderId="1" xfId="0" applyNumberFormat="1" applyFont="1" applyFill="1" applyBorder="1" applyAlignment="1">
      <alignment horizontal="left" vertical="center" wrapText="1"/>
    </xf>
    <xf numFmtId="189" fontId="20" fillId="0" borderId="1" xfId="0" applyNumberFormat="1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58" fontId="20" fillId="15" borderId="1" xfId="0" applyNumberFormat="1" applyFont="1" applyFill="1" applyBorder="1" applyAlignment="1">
      <alignment horizontal="left" vertical="center"/>
    </xf>
    <xf numFmtId="189" fontId="15" fillId="2" borderId="2" xfId="0" applyNumberFormat="1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15" borderId="12" xfId="0" applyFont="1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189" fontId="15" fillId="0" borderId="13" xfId="0" applyNumberFormat="1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16" borderId="15" xfId="0" applyFont="1" applyFill="1" applyBorder="1" applyAlignment="1">
      <alignment horizontal="left" vertical="center"/>
    </xf>
    <xf numFmtId="0" fontId="15" fillId="16" borderId="16" xfId="0" applyFont="1" applyFill="1" applyBorder="1" applyAlignment="1">
      <alignment horizontal="left" vertical="center"/>
    </xf>
    <xf numFmtId="190" fontId="15" fillId="0" borderId="16" xfId="0" applyNumberFormat="1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57" fontId="15" fillId="0" borderId="19" xfId="0" applyNumberFormat="1" applyFont="1" applyBorder="1" applyAlignment="1">
      <alignment horizontal="left" vertical="center"/>
    </xf>
    <xf numFmtId="190" fontId="15" fillId="0" borderId="19" xfId="0" applyNumberFormat="1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 textRotation="255"/>
    </xf>
    <xf numFmtId="0" fontId="15" fillId="0" borderId="19" xfId="0" applyFont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179" fontId="1" fillId="0" borderId="19" xfId="0" applyNumberFormat="1" applyFont="1" applyBorder="1" applyAlignment="1">
      <alignment horizontal="left" vertical="center"/>
    </xf>
    <xf numFmtId="179" fontId="24" fillId="0" borderId="19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178" fontId="1" fillId="0" borderId="19" xfId="0" applyNumberFormat="1" applyFont="1" applyBorder="1" applyAlignment="1">
      <alignment horizontal="left" vertical="center"/>
    </xf>
    <xf numFmtId="10" fontId="1" fillId="0" borderId="19" xfId="0" applyNumberFormat="1" applyFont="1" applyBorder="1" applyAlignment="1">
      <alignment horizontal="left" vertical="center"/>
    </xf>
    <xf numFmtId="10" fontId="24" fillId="0" borderId="19" xfId="0" applyNumberFormat="1" applyFont="1" applyBorder="1" applyAlignment="1">
      <alignment horizontal="left" vertical="center"/>
    </xf>
    <xf numFmtId="178" fontId="1" fillId="2" borderId="19" xfId="0" applyNumberFormat="1" applyFont="1" applyFill="1" applyBorder="1" applyAlignment="1">
      <alignment horizontal="left" vertical="center"/>
    </xf>
    <xf numFmtId="178" fontId="24" fillId="0" borderId="19" xfId="0" applyNumberFormat="1" applyFont="1" applyBorder="1" applyAlignment="1">
      <alignment horizontal="left" vertical="center"/>
    </xf>
    <xf numFmtId="191" fontId="1" fillId="0" borderId="19" xfId="0" applyNumberFormat="1" applyFont="1" applyBorder="1" applyAlignment="1">
      <alignment horizontal="left" vertical="center"/>
    </xf>
    <xf numFmtId="191" fontId="24" fillId="0" borderId="19" xfId="0" applyNumberFormat="1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9" fontId="1" fillId="0" borderId="19" xfId="0" applyNumberFormat="1" applyFont="1" applyBorder="1" applyAlignment="1">
      <alignment horizontal="left" vertical="center"/>
    </xf>
    <xf numFmtId="9" fontId="24" fillId="0" borderId="19" xfId="0" applyNumberFormat="1" applyFont="1" applyBorder="1" applyAlignment="1">
      <alignment horizontal="left" vertical="center"/>
    </xf>
    <xf numFmtId="192" fontId="15" fillId="0" borderId="19" xfId="0" applyNumberFormat="1" applyFont="1" applyBorder="1" applyAlignment="1">
      <alignment horizontal="left" vertical="center"/>
    </xf>
    <xf numFmtId="192" fontId="1" fillId="0" borderId="19" xfId="0" applyNumberFormat="1" applyFont="1" applyBorder="1" applyAlignment="1">
      <alignment horizontal="left" vertical="center"/>
    </xf>
    <xf numFmtId="192" fontId="24" fillId="0" borderId="19" xfId="0" applyNumberFormat="1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 textRotation="255"/>
    </xf>
    <xf numFmtId="192" fontId="15" fillId="0" borderId="23" xfId="0" applyNumberFormat="1" applyFont="1" applyBorder="1" applyAlignment="1">
      <alignment horizontal="left" vertical="center"/>
    </xf>
    <xf numFmtId="192" fontId="1" fillId="0" borderId="23" xfId="0" applyNumberFormat="1" applyFont="1" applyBorder="1" applyAlignment="1">
      <alignment horizontal="left" vertical="center"/>
    </xf>
    <xf numFmtId="192" fontId="24" fillId="0" borderId="23" xfId="0" applyNumberFormat="1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 textRotation="255"/>
    </xf>
    <xf numFmtId="0" fontId="15" fillId="0" borderId="16" xfId="0" applyFont="1" applyBorder="1" applyAlignment="1">
      <alignment horizontal="left" vertical="center"/>
    </xf>
    <xf numFmtId="178" fontId="1" fillId="0" borderId="16" xfId="0" applyNumberFormat="1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92" fontId="1" fillId="0" borderId="16" xfId="0" applyNumberFormat="1" applyFont="1" applyBorder="1" applyAlignment="1">
      <alignment horizontal="left" vertical="center"/>
    </xf>
    <xf numFmtId="10" fontId="1" fillId="0" borderId="23" xfId="0" applyNumberFormat="1" applyFont="1" applyBorder="1" applyAlignment="1">
      <alignment horizontal="left" vertical="center"/>
    </xf>
    <xf numFmtId="10" fontId="24" fillId="0" borderId="12" xfId="0" applyNumberFormat="1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 textRotation="255"/>
    </xf>
    <xf numFmtId="0" fontId="15" fillId="0" borderId="26" xfId="0" applyFont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10" fontId="25" fillId="0" borderId="16" xfId="0" applyNumberFormat="1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 textRotation="255"/>
    </xf>
    <xf numFmtId="0" fontId="15" fillId="0" borderId="28" xfId="0" applyFont="1" applyBorder="1" applyAlignment="1">
      <alignment horizontal="left" vertical="center"/>
    </xf>
    <xf numFmtId="10" fontId="25" fillId="0" borderId="19" xfId="0" applyNumberFormat="1" applyFont="1" applyBorder="1" applyAlignment="1">
      <alignment horizontal="left" vertical="center"/>
    </xf>
    <xf numFmtId="9" fontId="1" fillId="2" borderId="19" xfId="0" applyNumberFormat="1" applyFont="1" applyFill="1" applyBorder="1" applyAlignment="1">
      <alignment horizontal="left" vertical="center"/>
    </xf>
    <xf numFmtId="0" fontId="23" fillId="0" borderId="29" xfId="0" applyFont="1" applyBorder="1" applyAlignment="1">
      <alignment horizontal="left" vertical="center" textRotation="255"/>
    </xf>
    <xf numFmtId="0" fontId="15" fillId="0" borderId="30" xfId="0" applyFont="1" applyBorder="1" applyAlignment="1">
      <alignment horizontal="left" vertical="center"/>
    </xf>
    <xf numFmtId="192" fontId="25" fillId="0" borderId="23" xfId="0" applyNumberFormat="1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178" fontId="1" fillId="2" borderId="32" xfId="0" applyNumberFormat="1" applyFont="1" applyFill="1" applyBorder="1" applyAlignment="1">
      <alignment horizontal="left" vertical="center"/>
    </xf>
    <xf numFmtId="178" fontId="24" fillId="0" borderId="32" xfId="0" applyNumberFormat="1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10" fontId="1" fillId="2" borderId="19" xfId="0" applyNumberFormat="1" applyFont="1" applyFill="1" applyBorder="1" applyAlignment="1">
      <alignment horizontal="left" vertical="center"/>
    </xf>
    <xf numFmtId="10" fontId="25" fillId="0" borderId="23" xfId="0" applyNumberFormat="1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192" fontId="1" fillId="0" borderId="35" xfId="0" applyNumberFormat="1" applyFont="1" applyBorder="1" applyAlignment="1">
      <alignment horizontal="left" vertical="center"/>
    </xf>
    <xf numFmtId="192" fontId="24" fillId="0" borderId="35" xfId="0" applyNumberFormat="1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23" fillId="0" borderId="37" xfId="0" applyFont="1" applyBorder="1" applyAlignment="1">
      <alignment horizontal="left" vertical="center" textRotation="255"/>
    </xf>
    <xf numFmtId="0" fontId="15" fillId="0" borderId="38" xfId="0" applyFont="1" applyBorder="1" applyAlignment="1">
      <alignment horizontal="left" vertical="center"/>
    </xf>
    <xf numFmtId="192" fontId="1" fillId="0" borderId="39" xfId="0" applyNumberFormat="1" applyFont="1" applyBorder="1" applyAlignment="1">
      <alignment horizontal="left" vertical="center"/>
    </xf>
    <xf numFmtId="192" fontId="24" fillId="0" borderId="39" xfId="0" applyNumberFormat="1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93" fontId="15" fillId="0" borderId="38" xfId="0" applyNumberFormat="1" applyFont="1" applyBorder="1" applyAlignment="1">
      <alignment horizontal="left" vertical="center"/>
    </xf>
    <xf numFmtId="10" fontId="1" fillId="0" borderId="39" xfId="0" applyNumberFormat="1" applyFont="1" applyBorder="1" applyAlignment="1">
      <alignment horizontal="left" vertical="center"/>
    </xf>
    <xf numFmtId="178" fontId="24" fillId="0" borderId="39" xfId="0" applyNumberFormat="1" applyFont="1" applyBorder="1" applyAlignment="1">
      <alignment horizontal="left" vertical="center"/>
    </xf>
    <xf numFmtId="180" fontId="23" fillId="0" borderId="21" xfId="0" applyNumberFormat="1" applyFont="1" applyBorder="1" applyAlignment="1">
      <alignment horizontal="left" vertical="center" textRotation="255"/>
    </xf>
    <xf numFmtId="180" fontId="15" fillId="0" borderId="38" xfId="0" applyNumberFormat="1" applyFont="1" applyBorder="1" applyAlignment="1">
      <alignment horizontal="left" vertical="center"/>
    </xf>
    <xf numFmtId="180" fontId="15" fillId="0" borderId="40" xfId="0" applyNumberFormat="1" applyFont="1" applyBorder="1" applyAlignment="1">
      <alignment horizontal="left" vertical="center"/>
    </xf>
    <xf numFmtId="10" fontId="1" fillId="2" borderId="39" xfId="0" applyNumberFormat="1" applyFont="1" applyFill="1" applyBorder="1" applyAlignment="1">
      <alignment horizontal="left" vertical="center"/>
    </xf>
    <xf numFmtId="10" fontId="24" fillId="0" borderId="39" xfId="0" applyNumberFormat="1" applyFont="1" applyBorder="1" applyAlignment="1">
      <alignment horizontal="left" vertical="center"/>
    </xf>
    <xf numFmtId="178" fontId="1" fillId="2" borderId="39" xfId="0" applyNumberFormat="1" applyFont="1" applyFill="1" applyBorder="1" applyAlignment="1">
      <alignment horizontal="left" vertical="center"/>
    </xf>
    <xf numFmtId="178" fontId="1" fillId="0" borderId="39" xfId="0" applyNumberFormat="1" applyFont="1" applyBorder="1" applyAlignment="1">
      <alignment horizontal="left" vertical="center"/>
    </xf>
    <xf numFmtId="180" fontId="15" fillId="0" borderId="41" xfId="0" applyNumberFormat="1" applyFont="1" applyBorder="1" applyAlignment="1">
      <alignment horizontal="left" vertical="center"/>
    </xf>
    <xf numFmtId="10" fontId="1" fillId="0" borderId="42" xfId="0" applyNumberFormat="1" applyFont="1" applyBorder="1" applyAlignment="1">
      <alignment horizontal="left" vertical="center"/>
    </xf>
    <xf numFmtId="10" fontId="24" fillId="0" borderId="42" xfId="0" applyNumberFormat="1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 textRotation="255"/>
    </xf>
    <xf numFmtId="180" fontId="18" fillId="0" borderId="16" xfId="0" applyNumberFormat="1" applyFont="1" applyBorder="1" applyAlignment="1">
      <alignment horizontal="left" vertical="center"/>
    </xf>
    <xf numFmtId="178" fontId="27" fillId="0" borderId="16" xfId="0" applyNumberFormat="1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 textRotation="255"/>
    </xf>
    <xf numFmtId="180" fontId="18" fillId="0" borderId="23" xfId="0" applyNumberFormat="1" applyFont="1" applyBorder="1" applyAlignment="1">
      <alignment horizontal="left" vertical="center"/>
    </xf>
    <xf numFmtId="10" fontId="27" fillId="0" borderId="23" xfId="0" applyNumberFormat="1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89" fontId="15" fillId="0" borderId="1" xfId="0" applyNumberFormat="1" applyFont="1" applyBorder="1" applyAlignment="1">
      <alignment horizontal="left" vertical="center"/>
    </xf>
    <xf numFmtId="189" fontId="19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179" fontId="15" fillId="0" borderId="1" xfId="0" applyNumberFormat="1" applyFont="1" applyBorder="1" applyAlignment="1">
      <alignment horizontal="left" vertical="center"/>
    </xf>
    <xf numFmtId="192" fontId="15" fillId="0" borderId="1" xfId="0" applyNumberFormat="1" applyFont="1" applyBorder="1" applyAlignment="1">
      <alignment horizontal="left" vertical="center"/>
    </xf>
    <xf numFmtId="194" fontId="15" fillId="0" borderId="1" xfId="0" applyNumberFormat="1" applyFont="1" applyBorder="1" applyAlignment="1">
      <alignment horizontal="left" vertical="center"/>
    </xf>
    <xf numFmtId="178" fontId="15" fillId="0" borderId="1" xfId="0" applyNumberFormat="1" applyFont="1" applyBorder="1" applyAlignment="1">
      <alignment horizontal="left" vertical="center"/>
    </xf>
    <xf numFmtId="0" fontId="15" fillId="17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78" fontId="28" fillId="2" borderId="1" xfId="0" applyNumberFormat="1" applyFont="1" applyFill="1" applyBorder="1" applyAlignment="1">
      <alignment horizontal="left" vertical="center"/>
    </xf>
    <xf numFmtId="178" fontId="19" fillId="2" borderId="1" xfId="0" applyNumberFormat="1" applyFont="1" applyFill="1" applyBorder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9" fontId="17" fillId="2" borderId="1" xfId="0" applyNumberFormat="1" applyFont="1" applyFill="1" applyBorder="1" applyAlignment="1">
      <alignment horizontal="left" vertical="center"/>
    </xf>
    <xf numFmtId="178" fontId="19" fillId="0" borderId="1" xfId="0" applyNumberFormat="1" applyFont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/>
    </xf>
    <xf numFmtId="10" fontId="15" fillId="0" borderId="1" xfId="0" applyNumberFormat="1" applyFont="1" applyBorder="1" applyAlignment="1">
      <alignment horizontal="left" vertical="center"/>
    </xf>
    <xf numFmtId="10" fontId="19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0" fontId="29" fillId="0" borderId="1" xfId="0" applyNumberFormat="1" applyFont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10" fontId="15" fillId="15" borderId="1" xfId="0" applyNumberFormat="1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90" fontId="15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482600</xdr:colOff>
      <xdr:row>81</xdr:row>
      <xdr:rowOff>177800</xdr:rowOff>
    </xdr:to>
    <xdr:sp>
      <xdr:nvSpPr>
        <xdr:cNvPr id="2" name="矩形 1"/>
        <xdr:cNvSpPr/>
      </xdr:nvSpPr>
      <xdr:spPr>
        <a:xfrm>
          <a:off x="0" y="0"/>
          <a:ext cx="23933150" cy="22692995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482600</xdr:colOff>
      <xdr:row>69</xdr:row>
      <xdr:rowOff>25400</xdr:rowOff>
    </xdr:from>
    <xdr:to>
      <xdr:col>7</xdr:col>
      <xdr:colOff>1525268</xdr:colOff>
      <xdr:row>73</xdr:row>
      <xdr:rowOff>201814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450" y="20025995"/>
          <a:ext cx="1042035" cy="1014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495300</xdr:colOff>
      <xdr:row>29</xdr:row>
      <xdr:rowOff>161925</xdr:rowOff>
    </xdr:from>
    <xdr:to>
      <xdr:col>19</xdr:col>
      <xdr:colOff>594993</xdr:colOff>
      <xdr:row>33</xdr:row>
      <xdr:rowOff>135139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8375" y="7143750"/>
          <a:ext cx="1042035" cy="10394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21</xdr:col>
      <xdr:colOff>476250</xdr:colOff>
      <xdr:row>107</xdr:row>
      <xdr:rowOff>27214</xdr:rowOff>
    </xdr:to>
    <xdr:sp>
      <xdr:nvSpPr>
        <xdr:cNvPr id="3" name="矩形 2"/>
        <xdr:cNvSpPr/>
      </xdr:nvSpPr>
      <xdr:spPr>
        <a:xfrm>
          <a:off x="0" y="0"/>
          <a:ext cx="20602575" cy="23762970"/>
        </a:xfrm>
        <a:prstGeom prst="rect">
          <a:avLst/>
        </a:prstGeom>
        <a:blipFill dpi="0" rotWithShape="1">
          <a:blip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1"/>
        <xdr:cNvSpPr/>
      </xdr:nvSpPr>
      <xdr:spPr>
        <a:xfrm>
          <a:off x="355473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2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3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4"/>
        <xdr:cNvSpPr/>
      </xdr:nvSpPr>
      <xdr:spPr>
        <a:xfrm>
          <a:off x="355473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5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6"/>
        <xdr:cNvSpPr/>
      </xdr:nvSpPr>
      <xdr:spPr>
        <a:xfrm>
          <a:off x="355473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7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8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9"/>
        <xdr:cNvSpPr/>
      </xdr:nvSpPr>
      <xdr:spPr>
        <a:xfrm>
          <a:off x="355473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10"/>
        <xdr:cNvSpPr/>
      </xdr:nvSpPr>
      <xdr:spPr>
        <a:xfrm>
          <a:off x="355473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twoCellAnchor editAs="oneCell">
    <xdr:from>
      <xdr:col>15</xdr:col>
      <xdr:colOff>257175</xdr:colOff>
      <xdr:row>22</xdr:row>
      <xdr:rowOff>161925</xdr:rowOff>
    </xdr:from>
    <xdr:to>
      <xdr:col>17</xdr:col>
      <xdr:colOff>90168</xdr:colOff>
      <xdr:row>28</xdr:row>
      <xdr:rowOff>1789</xdr:rowOff>
    </xdr:to>
    <xdr:pic>
      <xdr:nvPicPr>
        <xdr:cNvPr id="12" name="图片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4943475"/>
          <a:ext cx="1042035" cy="10394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33</xdr:col>
      <xdr:colOff>238125</xdr:colOff>
      <xdr:row>73</xdr:row>
      <xdr:rowOff>63501</xdr:rowOff>
    </xdr:to>
    <xdr:sp>
      <xdr:nvSpPr>
        <xdr:cNvPr id="13" name="矩形 12"/>
        <xdr:cNvSpPr/>
      </xdr:nvSpPr>
      <xdr:spPr>
        <a:xfrm>
          <a:off x="0" y="0"/>
          <a:ext cx="23993475" cy="14027150"/>
        </a:xfrm>
        <a:prstGeom prst="rect">
          <a:avLst/>
        </a:prstGeom>
        <a:blipFill dpi="0" rotWithShape="1">
          <a:blip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11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12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13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14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15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16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17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18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19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20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21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22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23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24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25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26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27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28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29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30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41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42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43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44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45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46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47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48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49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50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51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52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53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54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55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56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57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58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59"/>
        <xdr:cNvSpPr/>
      </xdr:nvSpPr>
      <xdr:spPr>
        <a:xfrm>
          <a:off x="3230880" y="3190875"/>
          <a:ext cx="661670" cy="3476625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60"/>
        <xdr:cNvSpPr/>
      </xdr:nvSpPr>
      <xdr:spPr>
        <a:xfrm>
          <a:off x="3230880" y="3771900"/>
          <a:ext cx="661670" cy="3390900"/>
        </a:xfrm>
        <a:prstGeom prst="rect">
          <a:avLst/>
        </a:prstGeom>
        <a:solidFill>
          <a:srgbClr val="EB7B31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161925</xdr:colOff>
      <xdr:row>13</xdr:row>
      <xdr:rowOff>104775</xdr:rowOff>
    </xdr:from>
    <xdr:to>
      <xdr:col>16</xdr:col>
      <xdr:colOff>414018</xdr:colOff>
      <xdr:row>15</xdr:row>
      <xdr:rowOff>306589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4747260"/>
          <a:ext cx="1042035" cy="10394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657225</xdr:colOff>
      <xdr:row>48</xdr:row>
      <xdr:rowOff>57150</xdr:rowOff>
    </xdr:to>
    <xdr:sp>
      <xdr:nvSpPr>
        <xdr:cNvPr id="3" name="矩形 2"/>
        <xdr:cNvSpPr/>
      </xdr:nvSpPr>
      <xdr:spPr>
        <a:xfrm>
          <a:off x="0" y="0"/>
          <a:ext cx="17487900" cy="15590520"/>
        </a:xfrm>
        <a:prstGeom prst="rect">
          <a:avLst/>
        </a:prstGeom>
        <a:blipFill dpi="0" rotWithShape="1">
          <a:blip r:embed="rId2" cstate="print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B1:N72"/>
  <sheetViews>
    <sheetView showGridLines="0" tabSelected="1" zoomScale="75" zoomScaleNormal="75" workbookViewId="0">
      <selection activeCell="H86" sqref="H86:H92"/>
    </sheetView>
  </sheetViews>
  <sheetFormatPr defaultColWidth="10.375" defaultRowHeight="16.5" customHeight="1"/>
  <cols>
    <col min="1" max="1" width="3.125" style="128" customWidth="1"/>
    <col min="2" max="2" width="17.375" style="128" customWidth="1"/>
    <col min="3" max="3" width="49" style="128" customWidth="1"/>
    <col min="4" max="4" width="10.125" style="128" customWidth="1"/>
    <col min="5" max="5" width="18.375" style="128" customWidth="1"/>
    <col min="6" max="6" width="11.125" style="134" customWidth="1"/>
    <col min="7" max="7" width="10.125" style="134" customWidth="1"/>
    <col min="8" max="8" width="80.875" style="128" customWidth="1"/>
    <col min="9" max="9" width="3.625" style="128" customWidth="1"/>
    <col min="10" max="10" width="15" style="128" customWidth="1"/>
    <col min="11" max="11" width="8.125" style="128" customWidth="1"/>
    <col min="12" max="12" width="7.375" style="128" customWidth="1"/>
    <col min="13" max="13" width="10.625" style="128" customWidth="1"/>
    <col min="14" max="14" width="5.375" style="128" customWidth="1"/>
    <col min="15" max="15" width="11.875" style="128" customWidth="1"/>
    <col min="16" max="40" width="9.125" style="128" customWidth="1"/>
  </cols>
  <sheetData>
    <row r="1" s="128" customFormat="1" ht="18.95" customHeight="1" spans="6:7">
      <c r="F1" s="134"/>
      <c r="G1" s="134"/>
    </row>
    <row r="2" s="128" customFormat="1" ht="27.95" customHeight="1" spans="2:13">
      <c r="B2" s="135" t="s">
        <v>0</v>
      </c>
      <c r="C2" s="136"/>
      <c r="D2" s="136"/>
      <c r="E2" s="136"/>
      <c r="F2" s="136"/>
      <c r="G2" s="136"/>
      <c r="H2" s="137"/>
      <c r="J2" s="252" t="s">
        <v>1</v>
      </c>
      <c r="K2" s="252"/>
      <c r="L2" s="252"/>
      <c r="M2" s="252"/>
    </row>
    <row r="3" s="128" customFormat="1" ht="21" customHeight="1" spans="2:13">
      <c r="B3" s="138" t="s">
        <v>2</v>
      </c>
      <c r="C3" s="139"/>
      <c r="D3" s="140" t="s">
        <v>3</v>
      </c>
      <c r="E3" s="141"/>
      <c r="F3" s="142" t="s">
        <v>4</v>
      </c>
      <c r="G3" s="143" t="s">
        <v>5</v>
      </c>
      <c r="H3" s="144" t="s">
        <v>6</v>
      </c>
      <c r="J3" s="244" t="s">
        <v>7</v>
      </c>
      <c r="K3" s="251">
        <f>K4/2.54</f>
        <v>0</v>
      </c>
      <c r="L3" s="251">
        <f>L4/2.54</f>
        <v>0</v>
      </c>
      <c r="M3" s="251">
        <f>M4/2.54</f>
        <v>0</v>
      </c>
    </row>
    <row r="4" s="128" customFormat="1" ht="21" customHeight="1" spans="2:13">
      <c r="B4" s="138" t="s">
        <v>8</v>
      </c>
      <c r="C4" s="139"/>
      <c r="D4" s="145" t="s">
        <v>9</v>
      </c>
      <c r="E4" s="141"/>
      <c r="F4" s="142" t="s">
        <v>10</v>
      </c>
      <c r="G4" s="143" t="s">
        <v>11</v>
      </c>
      <c r="H4" s="144" t="s">
        <v>12</v>
      </c>
      <c r="J4" s="253" t="s">
        <v>13</v>
      </c>
      <c r="K4" s="254"/>
      <c r="L4" s="254"/>
      <c r="M4" s="254"/>
    </row>
    <row r="5" s="128" customFormat="1" ht="21" customHeight="1" spans="2:14">
      <c r="B5" s="146" t="s">
        <v>14</v>
      </c>
      <c r="C5" s="147" t="s">
        <v>15</v>
      </c>
      <c r="D5" s="145" t="s">
        <v>16</v>
      </c>
      <c r="E5" s="145">
        <f>_xlfn.IFS(C5="美元",K31,C5="欧元",K32,C5="英镑",K33)</f>
        <v>7.15</v>
      </c>
      <c r="F5" s="142" t="s">
        <v>17</v>
      </c>
      <c r="G5" s="148" t="s">
        <v>18</v>
      </c>
      <c r="H5" s="144" t="s">
        <v>19</v>
      </c>
      <c r="J5" s="244" t="s">
        <v>20</v>
      </c>
      <c r="K5" s="251">
        <f>K4*L4*M4</f>
        <v>0</v>
      </c>
      <c r="L5" s="251"/>
      <c r="M5" s="251"/>
      <c r="N5" s="130"/>
    </row>
    <row r="6" s="128" customFormat="1" ht="21" customHeight="1" spans="2:14">
      <c r="B6" s="149" t="s">
        <v>21</v>
      </c>
      <c r="C6" s="150" t="s">
        <v>22</v>
      </c>
      <c r="D6" s="151"/>
      <c r="E6" s="151"/>
      <c r="F6" s="151"/>
      <c r="G6" s="152"/>
      <c r="H6" s="153"/>
      <c r="J6" s="244" t="s">
        <v>23</v>
      </c>
      <c r="K6" s="255"/>
      <c r="L6" s="255"/>
      <c r="M6" s="255"/>
      <c r="N6" s="256"/>
    </row>
    <row r="7" s="128" customFormat="1" ht="23.25" customHeight="1" spans="2:13">
      <c r="B7" s="154" t="s">
        <v>24</v>
      </c>
      <c r="C7" s="155"/>
      <c r="D7" s="155" t="s">
        <v>25</v>
      </c>
      <c r="E7" s="155"/>
      <c r="F7" s="155" t="s">
        <v>26</v>
      </c>
      <c r="G7" s="156" t="s">
        <v>27</v>
      </c>
      <c r="H7" s="157" t="s">
        <v>28</v>
      </c>
      <c r="J7" s="244" t="s">
        <v>29</v>
      </c>
      <c r="K7" s="251">
        <f>K5/6000</f>
        <v>0</v>
      </c>
      <c r="L7" s="251">
        <f>K5/5000</f>
        <v>0</v>
      </c>
      <c r="M7" s="251">
        <f>K5/6000</f>
        <v>0</v>
      </c>
    </row>
    <row r="8" s="128" customFormat="1" ht="24.95" customHeight="1" spans="2:13">
      <c r="B8" s="158" t="s">
        <v>30</v>
      </c>
      <c r="C8" s="159"/>
      <c r="D8" s="160" t="s">
        <v>31</v>
      </c>
      <c r="E8" s="160" t="s">
        <v>32</v>
      </c>
      <c r="F8" s="160" t="s">
        <v>33</v>
      </c>
      <c r="G8" s="161"/>
      <c r="H8" s="162"/>
      <c r="J8" s="244" t="s">
        <v>34</v>
      </c>
      <c r="K8" s="255"/>
      <c r="L8" s="255"/>
      <c r="M8" s="255"/>
    </row>
    <row r="9" s="129" customFormat="1" ht="24.95" customHeight="1" spans="2:14">
      <c r="B9" s="163" t="s">
        <v>35</v>
      </c>
      <c r="C9" s="164" t="s">
        <v>36</v>
      </c>
      <c r="D9" s="165">
        <v>33</v>
      </c>
      <c r="E9" s="165">
        <v>5</v>
      </c>
      <c r="F9" s="165">
        <v>8</v>
      </c>
      <c r="G9" s="166">
        <f>SUM(D9:F9)</f>
        <v>46</v>
      </c>
      <c r="H9" s="162" t="s">
        <v>37</v>
      </c>
      <c r="J9" s="244" t="s">
        <v>38</v>
      </c>
      <c r="K9" s="251">
        <f>IF(K7&gt;$K$6,K7*K8,$K$6*K8)</f>
        <v>0</v>
      </c>
      <c r="L9" s="251">
        <f>IF(L7&gt;$K$6,L7*L8,$K$6*L8)</f>
        <v>0</v>
      </c>
      <c r="M9" s="251">
        <f>IF(M7&gt;$K$6,M7*M8,$K$6*M8)</f>
        <v>0</v>
      </c>
      <c r="N9" s="131"/>
    </row>
    <row r="10" s="129" customFormat="1" ht="24.95" customHeight="1" spans="2:14">
      <c r="B10" s="163"/>
      <c r="C10" s="164" t="s">
        <v>39</v>
      </c>
      <c r="D10" s="167">
        <f>SUM(首批与返单囤货数量预测表!G3:G32)</f>
        <v>115</v>
      </c>
      <c r="E10" s="167">
        <f>SUM(首批与返单囤货数量预测表!G33:G62)</f>
        <v>266</v>
      </c>
      <c r="F10" s="167">
        <f>SUM(首批与返单囤货数量预测表!G63:G92)</f>
        <v>488</v>
      </c>
      <c r="G10" s="168">
        <f>SUM(D10:F10)</f>
        <v>869</v>
      </c>
      <c r="H10" s="162" t="s">
        <v>40</v>
      </c>
      <c r="J10" s="253" t="s">
        <v>41</v>
      </c>
      <c r="K10" s="257">
        <v>1</v>
      </c>
      <c r="L10" s="257"/>
      <c r="M10" s="257"/>
      <c r="N10" s="128"/>
    </row>
    <row r="11" s="130" customFormat="1" ht="24.95" customHeight="1" spans="2:14">
      <c r="B11" s="163"/>
      <c r="C11" s="164" t="s">
        <v>42</v>
      </c>
      <c r="D11" s="169">
        <f>D9+D10</f>
        <v>148</v>
      </c>
      <c r="E11" s="169">
        <f>E9+E10</f>
        <v>271</v>
      </c>
      <c r="F11" s="169">
        <f>F9+F10</f>
        <v>496</v>
      </c>
      <c r="G11" s="166">
        <f>SUM(D11:F11)</f>
        <v>915</v>
      </c>
      <c r="H11" s="162" t="s">
        <v>43</v>
      </c>
      <c r="J11" s="244" t="s">
        <v>44</v>
      </c>
      <c r="K11" s="258">
        <f>K9/K10</f>
        <v>0</v>
      </c>
      <c r="L11" s="258">
        <f>L9/K10</f>
        <v>0</v>
      </c>
      <c r="M11" s="258">
        <f>M9/K10</f>
        <v>0</v>
      </c>
      <c r="N11" s="128"/>
    </row>
    <row r="12" s="130" customFormat="1" ht="24.95" customHeight="1" spans="2:14">
      <c r="B12" s="163"/>
      <c r="C12" s="164" t="s">
        <v>45</v>
      </c>
      <c r="D12" s="170">
        <f>D16/(1+D13)</f>
        <v>278.7785</v>
      </c>
      <c r="E12" s="170">
        <f>E16/(1+E13)</f>
        <v>285.9285</v>
      </c>
      <c r="F12" s="170">
        <f>F16/(1+F13)</f>
        <v>293.0785</v>
      </c>
      <c r="G12" s="166"/>
      <c r="H12" s="162" t="s">
        <v>46</v>
      </c>
      <c r="J12" s="244"/>
      <c r="K12" s="244" t="s">
        <v>47</v>
      </c>
      <c r="L12" s="244" t="s">
        <v>48</v>
      </c>
      <c r="M12" s="244" t="s">
        <v>49</v>
      </c>
      <c r="N12" s="128"/>
    </row>
    <row r="13" s="130" customFormat="1" ht="24.95" customHeight="1" spans="2:14">
      <c r="B13" s="163"/>
      <c r="C13" s="164" t="s">
        <v>50</v>
      </c>
      <c r="D13" s="171">
        <f>IF($C$5="美元",0,20%)</f>
        <v>0</v>
      </c>
      <c r="E13" s="171">
        <f>IF($C$5="美元",0,20%)</f>
        <v>0</v>
      </c>
      <c r="F13" s="171">
        <f>IF($C$5="美元",0,20%)</f>
        <v>0</v>
      </c>
      <c r="G13" s="172"/>
      <c r="H13" s="162" t="s">
        <v>51</v>
      </c>
      <c r="J13" s="252" t="s">
        <v>52</v>
      </c>
      <c r="K13" s="252"/>
      <c r="L13" s="252"/>
      <c r="M13" s="252"/>
      <c r="N13" s="128"/>
    </row>
    <row r="14" s="130" customFormat="1" ht="24.95" customHeight="1" spans="2:14">
      <c r="B14" s="163"/>
      <c r="C14" s="164" t="s">
        <v>53</v>
      </c>
      <c r="D14" s="173">
        <v>38.99</v>
      </c>
      <c r="E14" s="173">
        <v>39.99</v>
      </c>
      <c r="F14" s="173">
        <v>40.99</v>
      </c>
      <c r="G14" s="174"/>
      <c r="H14" s="162" t="s">
        <v>54</v>
      </c>
      <c r="J14" s="244" t="s">
        <v>55</v>
      </c>
      <c r="K14" s="141"/>
      <c r="L14" s="141"/>
      <c r="M14" s="141"/>
      <c r="N14" s="128"/>
    </row>
    <row r="15" s="130" customFormat="1" ht="24.95" customHeight="1" spans="2:14">
      <c r="B15" s="163"/>
      <c r="C15" s="164" t="s">
        <v>16</v>
      </c>
      <c r="D15" s="175">
        <f>$E$5</f>
        <v>7.15</v>
      </c>
      <c r="E15" s="175">
        <f>$E$5</f>
        <v>7.15</v>
      </c>
      <c r="F15" s="175">
        <f>$E$5</f>
        <v>7.15</v>
      </c>
      <c r="G15" s="176"/>
      <c r="H15" s="177"/>
      <c r="J15" s="244" t="s">
        <v>56</v>
      </c>
      <c r="K15" s="244">
        <v>0.76</v>
      </c>
      <c r="L15" s="244"/>
      <c r="M15" s="244"/>
      <c r="N15" s="128"/>
    </row>
    <row r="16" s="130" customFormat="1" ht="24.95" customHeight="1" spans="2:8">
      <c r="B16" s="163"/>
      <c r="C16" s="164" t="s">
        <v>57</v>
      </c>
      <c r="D16" s="170">
        <f>D14*D15</f>
        <v>278.7785</v>
      </c>
      <c r="E16" s="170">
        <f>E14*E15</f>
        <v>285.9285</v>
      </c>
      <c r="F16" s="170">
        <f>F14*F15</f>
        <v>293.0785</v>
      </c>
      <c r="G16" s="174"/>
      <c r="H16" s="162"/>
    </row>
    <row r="17" s="130" customFormat="1" ht="24.95" customHeight="1" spans="2:13">
      <c r="B17" s="163"/>
      <c r="C17" s="164" t="s">
        <v>58</v>
      </c>
      <c r="D17" s="178">
        <f>'毛利测算表-US'!$C$29</f>
        <v>0.05</v>
      </c>
      <c r="E17" s="178">
        <f>'毛利测算表-US'!$C$29</f>
        <v>0.05</v>
      </c>
      <c r="F17" s="178">
        <f>'毛利测算表-US'!$C$29</f>
        <v>0.05</v>
      </c>
      <c r="G17" s="179"/>
      <c r="H17" s="162" t="s">
        <v>59</v>
      </c>
      <c r="I17" s="128"/>
      <c r="J17" s="259" t="s">
        <v>60</v>
      </c>
      <c r="K17" s="259"/>
      <c r="L17" s="259"/>
      <c r="M17" s="259"/>
    </row>
    <row r="18" s="128" customFormat="1" ht="24.95" customHeight="1" spans="2:13">
      <c r="B18" s="163"/>
      <c r="C18" s="180" t="s">
        <v>61</v>
      </c>
      <c r="D18" s="181">
        <f>D11*D12</f>
        <v>41259.218</v>
      </c>
      <c r="E18" s="181">
        <f>E11*E12</f>
        <v>77486.6235</v>
      </c>
      <c r="F18" s="181">
        <f>F11*F12</f>
        <v>145366.936</v>
      </c>
      <c r="G18" s="182">
        <f>SUM(D18:F18)</f>
        <v>264112.7775</v>
      </c>
      <c r="H18" s="162"/>
      <c r="J18" s="244" t="s">
        <v>62</v>
      </c>
      <c r="K18" s="260" t="s">
        <v>31</v>
      </c>
      <c r="L18" s="260" t="s">
        <v>32</v>
      </c>
      <c r="M18" s="260" t="s">
        <v>33</v>
      </c>
    </row>
    <row r="19" s="128" customFormat="1" ht="24.95" customHeight="1" spans="2:13">
      <c r="B19" s="183"/>
      <c r="C19" s="184" t="s">
        <v>63</v>
      </c>
      <c r="D19" s="185">
        <f>D16*D11</f>
        <v>41259.218</v>
      </c>
      <c r="E19" s="185">
        <f>E16*E11</f>
        <v>77486.6235</v>
      </c>
      <c r="F19" s="185">
        <f>F16*F11</f>
        <v>145366.936</v>
      </c>
      <c r="G19" s="186">
        <f>SUM(D19:F19)</f>
        <v>264112.7775</v>
      </c>
      <c r="H19" s="187"/>
      <c r="J19" s="142" t="s">
        <v>64</v>
      </c>
      <c r="K19" s="261">
        <f>D37</f>
        <v>0.284973354991308</v>
      </c>
      <c r="L19" s="261">
        <f>E37</f>
        <v>0.160040010002501</v>
      </c>
      <c r="M19" s="261">
        <f>F37</f>
        <v>0.0853866796779702</v>
      </c>
    </row>
    <row r="20" s="128" customFormat="1" ht="24.95" customHeight="1" spans="2:13">
      <c r="B20" s="188" t="s">
        <v>65</v>
      </c>
      <c r="C20" s="189" t="s">
        <v>66</v>
      </c>
      <c r="D20" s="190">
        <f>'毛利测算表-US'!$C$19</f>
        <v>75</v>
      </c>
      <c r="E20" s="190">
        <f>'毛利测算表-US'!$C$19</f>
        <v>75</v>
      </c>
      <c r="F20" s="190">
        <f>'毛利测算表-US'!$C$19</f>
        <v>75</v>
      </c>
      <c r="G20" s="174"/>
      <c r="H20" s="157"/>
      <c r="J20" s="142" t="s">
        <v>67</v>
      </c>
      <c r="K20" s="261">
        <f>D29/D19</f>
        <v>0.200771992818672</v>
      </c>
      <c r="L20" s="261">
        <f>E29/E19</f>
        <v>0.107501875468867</v>
      </c>
      <c r="M20" s="261">
        <f>F29/F19</f>
        <v>0.0458550866064894</v>
      </c>
    </row>
    <row r="21" s="128" customFormat="1" ht="24.95" customHeight="1" spans="2:13">
      <c r="B21" s="183"/>
      <c r="C21" s="191" t="s">
        <v>68</v>
      </c>
      <c r="D21" s="185">
        <f>D11*D20</f>
        <v>11100</v>
      </c>
      <c r="E21" s="185">
        <f>E11*E20</f>
        <v>20325</v>
      </c>
      <c r="F21" s="185">
        <f>F11*F20</f>
        <v>37200</v>
      </c>
      <c r="G21" s="186">
        <f>SUM(D21:F21)</f>
        <v>68625</v>
      </c>
      <c r="H21" s="187"/>
      <c r="J21" s="142" t="s">
        <v>69</v>
      </c>
      <c r="K21" s="261">
        <f>(D47+D48)/D19</f>
        <v>0.175903844687507</v>
      </c>
      <c r="L21" s="261">
        <f>(E47+E48)/E19</f>
        <v>0.0157662551266026</v>
      </c>
      <c r="M21" s="261">
        <f>(F47+F48)/F19</f>
        <v>0.0135055347111395</v>
      </c>
    </row>
    <row r="22" s="130" customFormat="1" ht="24.95" customHeight="1" spans="2:13">
      <c r="B22" s="188" t="s">
        <v>70</v>
      </c>
      <c r="C22" s="189" t="s">
        <v>71</v>
      </c>
      <c r="D22" s="192">
        <f>D18-D21</f>
        <v>30159.218</v>
      </c>
      <c r="E22" s="192">
        <f>E18-E21</f>
        <v>57161.6235</v>
      </c>
      <c r="F22" s="192">
        <f>F18-F21</f>
        <v>108166.936</v>
      </c>
      <c r="G22" s="182">
        <f>SUM(D22:F22)</f>
        <v>195487.7775</v>
      </c>
      <c r="H22" s="157" t="s">
        <v>72</v>
      </c>
      <c r="I22" s="128"/>
      <c r="J22" s="262" t="s">
        <v>73</v>
      </c>
      <c r="K22" s="263">
        <f>D21/D19</f>
        <v>0.269030789677109</v>
      </c>
      <c r="L22" s="263">
        <f>E21/E19</f>
        <v>0.26230333807228</v>
      </c>
      <c r="M22" s="263">
        <f>F21/F19</f>
        <v>0.255904134899012</v>
      </c>
    </row>
    <row r="23" s="128" customFormat="1" ht="24.95" customHeight="1" spans="2:13">
      <c r="B23" s="183"/>
      <c r="C23" s="191" t="s">
        <v>74</v>
      </c>
      <c r="D23" s="193">
        <f>D22/D18</f>
        <v>0.730969210322891</v>
      </c>
      <c r="E23" s="193">
        <f>E22/E18</f>
        <v>0.73769666192772</v>
      </c>
      <c r="F23" s="193">
        <f>F22/F18</f>
        <v>0.744095865100988</v>
      </c>
      <c r="G23" s="194">
        <f>SUM(D22:F22)/SUM(D18:F18)</f>
        <v>0.740167815243244</v>
      </c>
      <c r="H23" s="187"/>
      <c r="J23" s="262" t="s">
        <v>75</v>
      </c>
      <c r="K23" s="263">
        <f>D45/D19</f>
        <v>0.0390991414330732</v>
      </c>
      <c r="L23" s="263">
        <f>E45/E19</f>
        <v>0.0381214184665047</v>
      </c>
      <c r="M23" s="263">
        <f>F45/F19</f>
        <v>0.0371914009386564</v>
      </c>
    </row>
    <row r="24" s="128" customFormat="1" ht="24.95" customHeight="1" spans="2:13">
      <c r="B24" s="195" t="s">
        <v>76</v>
      </c>
      <c r="C24" s="196" t="s">
        <v>77</v>
      </c>
      <c r="D24" s="197">
        <v>0</v>
      </c>
      <c r="E24" s="197">
        <v>0</v>
      </c>
      <c r="F24" s="197">
        <v>0</v>
      </c>
      <c r="G24" s="198"/>
      <c r="H24" s="157" t="s">
        <v>78</v>
      </c>
      <c r="J24" s="262" t="s">
        <v>79</v>
      </c>
      <c r="K24" s="263">
        <f>D39</f>
        <v>0.15</v>
      </c>
      <c r="L24" s="263">
        <f>E39</f>
        <v>0.15</v>
      </c>
      <c r="M24" s="263">
        <f>F39</f>
        <v>0.15</v>
      </c>
    </row>
    <row r="25" s="128" customFormat="1" ht="24.95" customHeight="1" spans="2:13">
      <c r="B25" s="199"/>
      <c r="C25" s="200" t="s">
        <v>80</v>
      </c>
      <c r="D25" s="165">
        <v>0</v>
      </c>
      <c r="E25" s="165">
        <v>0</v>
      </c>
      <c r="F25" s="165">
        <v>0</v>
      </c>
      <c r="G25" s="201"/>
      <c r="H25" s="162" t="s">
        <v>81</v>
      </c>
      <c r="J25" s="262" t="s">
        <v>82</v>
      </c>
      <c r="K25" s="263">
        <f>D42/D19</f>
        <v>0.163375224416517</v>
      </c>
      <c r="L25" s="263">
        <f>E42/E19</f>
        <v>0.159289822455614</v>
      </c>
      <c r="M25" s="263">
        <f>F42/F19</f>
        <v>0.155403757013906</v>
      </c>
    </row>
    <row r="26" s="128" customFormat="1" ht="24.95" customHeight="1" spans="2:13">
      <c r="B26" s="199"/>
      <c r="C26" s="200" t="s">
        <v>83</v>
      </c>
      <c r="D26" s="202">
        <v>0.2</v>
      </c>
      <c r="E26" s="202">
        <v>0.2</v>
      </c>
      <c r="F26" s="202">
        <v>0.1</v>
      </c>
      <c r="G26" s="201"/>
      <c r="H26" s="162" t="s">
        <v>84</v>
      </c>
      <c r="J26" s="262" t="s">
        <v>85</v>
      </c>
      <c r="K26" s="263">
        <v>0.02</v>
      </c>
      <c r="L26" s="263">
        <v>0.02</v>
      </c>
      <c r="M26" s="263">
        <v>0.02</v>
      </c>
    </row>
    <row r="27" s="128" customFormat="1" ht="24.95" customHeight="1" spans="2:13">
      <c r="B27" s="199"/>
      <c r="C27" s="200" t="s">
        <v>86</v>
      </c>
      <c r="D27" s="202">
        <v>0.7</v>
      </c>
      <c r="E27" s="202">
        <v>0.5</v>
      </c>
      <c r="F27" s="202">
        <v>0.4</v>
      </c>
      <c r="G27" s="201"/>
      <c r="H27" s="162" t="s">
        <v>87</v>
      </c>
      <c r="J27" s="262" t="s">
        <v>88</v>
      </c>
      <c r="K27" s="263">
        <f>D17</f>
        <v>0.05</v>
      </c>
      <c r="L27" s="263">
        <f>E17</f>
        <v>0.05</v>
      </c>
      <c r="M27" s="263">
        <f>F17</f>
        <v>0.05</v>
      </c>
    </row>
    <row r="28" s="128" customFormat="1" ht="24.95" customHeight="1" spans="2:13">
      <c r="B28" s="199"/>
      <c r="C28" s="200" t="s">
        <v>89</v>
      </c>
      <c r="D28" s="202">
        <v>0.05</v>
      </c>
      <c r="E28" s="202">
        <v>0</v>
      </c>
      <c r="F28" s="202">
        <v>0</v>
      </c>
      <c r="G28" s="201"/>
      <c r="H28" s="162" t="s">
        <v>90</v>
      </c>
      <c r="J28" s="264" t="s">
        <v>91</v>
      </c>
      <c r="K28" s="265">
        <f>1-SUM(K19:K27)</f>
        <v>-0.353154348024187</v>
      </c>
      <c r="L28" s="265">
        <f>1-SUM(L19:L27)</f>
        <v>0.0369772804076307</v>
      </c>
      <c r="M28" s="265">
        <f>1-SUM(M19:M27)</f>
        <v>0.186753406152827</v>
      </c>
    </row>
    <row r="29" s="128" customFormat="1" ht="24.95" customHeight="1" spans="2:8">
      <c r="B29" s="203"/>
      <c r="C29" s="204" t="s">
        <v>92</v>
      </c>
      <c r="D29" s="185">
        <f>IF(D26&gt;0.8,(D24*$K$37+D25*$L$37+D26*D27*D11+D28*D14*D11+0.6*D11*D27)*D15,(D24*$K$37+D25*$L$37+D26*D14*D27*D11+D28*D14*D11+0.6*D11*D27)*D15)</f>
        <v>8283.69542</v>
      </c>
      <c r="E29" s="185">
        <f>IF(E26&gt;0.8,(E24*$K$37+E25*$L$37+E26*E27*E11+E28*E14*E11+0.6*E11*E27)*E15,(E24*$K$37+E25*$L$37+E26*E14*E27*E11+E28*E14*E11+0.6*E11*E27)*E15)</f>
        <v>8329.95735</v>
      </c>
      <c r="F29" s="185">
        <f>IF(F26&gt;0.8,(F24*$K$37+F25*$L$37+F26*F27*F11+F28*F14*F11+0.6*F11*F27)*F15,(F24*$K$37+F25*$L$37+F26*F14*F27*F11+F28*F14*F11+0.6*F11*F27)*F15)</f>
        <v>6665.81344</v>
      </c>
      <c r="G29" s="205">
        <f>SUM(D29:F29)</f>
        <v>23279.46621</v>
      </c>
      <c r="H29" s="206" t="s">
        <v>93</v>
      </c>
    </row>
    <row r="30" s="128" customFormat="1" ht="24.95" customHeight="1" spans="2:11">
      <c r="B30" s="199" t="s">
        <v>94</v>
      </c>
      <c r="C30" s="207" t="s">
        <v>95</v>
      </c>
      <c r="D30" s="208">
        <v>2</v>
      </c>
      <c r="E30" s="208">
        <v>1.6</v>
      </c>
      <c r="F30" s="208">
        <v>1.4</v>
      </c>
      <c r="G30" s="209"/>
      <c r="H30" s="210" t="s">
        <v>96</v>
      </c>
      <c r="J30" s="266" t="s">
        <v>16</v>
      </c>
      <c r="K30" s="267"/>
    </row>
    <row r="31" s="128" customFormat="1" ht="24.95" customHeight="1" spans="2:11">
      <c r="B31" s="199"/>
      <c r="C31" s="200" t="s">
        <v>97</v>
      </c>
      <c r="D31" s="211">
        <v>0.09</v>
      </c>
      <c r="E31" s="211">
        <v>0.1</v>
      </c>
      <c r="F31" s="211">
        <v>0.12</v>
      </c>
      <c r="G31" s="174"/>
      <c r="H31" s="162" t="s">
        <v>98</v>
      </c>
      <c r="J31" s="244" t="s">
        <v>99</v>
      </c>
      <c r="K31" s="268">
        <v>7.15</v>
      </c>
    </row>
    <row r="32" s="128" customFormat="1" ht="24.95" customHeight="1" spans="2:13">
      <c r="B32" s="199"/>
      <c r="C32" s="200" t="s">
        <v>100</v>
      </c>
      <c r="D32" s="170">
        <f>D30/D31</f>
        <v>22.2222222222222</v>
      </c>
      <c r="E32" s="170">
        <f>E30/E31</f>
        <v>16</v>
      </c>
      <c r="F32" s="170">
        <f>F30/F31</f>
        <v>11.6666666666667</v>
      </c>
      <c r="G32" s="174"/>
      <c r="H32" s="162" t="s">
        <v>101</v>
      </c>
      <c r="J32" s="244" t="s">
        <v>102</v>
      </c>
      <c r="K32" s="268">
        <v>7.45</v>
      </c>
      <c r="M32" s="256"/>
    </row>
    <row r="33" s="128" customFormat="1" ht="24.95" customHeight="1" spans="2:11">
      <c r="B33" s="199"/>
      <c r="C33" s="200" t="s">
        <v>103</v>
      </c>
      <c r="D33" s="211">
        <v>0.5</v>
      </c>
      <c r="E33" s="211">
        <v>0.4</v>
      </c>
      <c r="F33" s="211">
        <v>0.3</v>
      </c>
      <c r="G33" s="174"/>
      <c r="H33" s="162" t="s">
        <v>104</v>
      </c>
      <c r="J33" s="244" t="s">
        <v>105</v>
      </c>
      <c r="K33" s="268">
        <v>8.66</v>
      </c>
    </row>
    <row r="34" s="128" customFormat="1" ht="24.95" customHeight="1" spans="2:8">
      <c r="B34" s="203"/>
      <c r="C34" s="204" t="s">
        <v>106</v>
      </c>
      <c r="D34" s="193">
        <f>D32/D14</f>
        <v>0.569946709982617</v>
      </c>
      <c r="E34" s="193">
        <f>E32/E14</f>
        <v>0.400100025006252</v>
      </c>
      <c r="F34" s="193">
        <f>F32/F14</f>
        <v>0.284622265593234</v>
      </c>
      <c r="G34" s="212"/>
      <c r="H34" s="187"/>
    </row>
    <row r="35" s="128" customFormat="1" ht="24.95" customHeight="1" spans="2:12">
      <c r="B35" s="188" t="s">
        <v>107</v>
      </c>
      <c r="C35" s="213" t="s">
        <v>108</v>
      </c>
      <c r="D35" s="214">
        <f>D16*D11*D37</f>
        <v>11757.7777777778</v>
      </c>
      <c r="E35" s="214">
        <f>E16*E11*E37</f>
        <v>12400.96</v>
      </c>
      <c r="F35" s="214">
        <f>F16*F11*F37</f>
        <v>12412.4</v>
      </c>
      <c r="G35" s="215">
        <f>SUM(D35:F35)</f>
        <v>36571.1377777778</v>
      </c>
      <c r="H35" s="216"/>
      <c r="J35" s="244" t="s">
        <v>109</v>
      </c>
      <c r="K35" s="244"/>
      <c r="L35" s="244"/>
    </row>
    <row r="36" s="129" customFormat="1" ht="24.95" customHeight="1" spans="2:13">
      <c r="B36" s="217"/>
      <c r="C36" s="218" t="s">
        <v>110</v>
      </c>
      <c r="D36" s="219">
        <f>D35/$D$15</f>
        <v>1644.44444444444</v>
      </c>
      <c r="E36" s="219">
        <f>E35/$D$15</f>
        <v>1734.4</v>
      </c>
      <c r="F36" s="219">
        <f>F35/$D$15</f>
        <v>1736</v>
      </c>
      <c r="G36" s="220">
        <f>SUM(D36:F36)</f>
        <v>5114.84444444444</v>
      </c>
      <c r="H36" s="221"/>
      <c r="I36" s="128"/>
      <c r="J36" s="244" t="s">
        <v>111</v>
      </c>
      <c r="K36" s="244" t="s">
        <v>112</v>
      </c>
      <c r="L36" s="244" t="s">
        <v>113</v>
      </c>
      <c r="M36" s="128"/>
    </row>
    <row r="37" s="128" customFormat="1" ht="24.95" customHeight="1" spans="2:12">
      <c r="B37" s="163"/>
      <c r="C37" s="222" t="s">
        <v>64</v>
      </c>
      <c r="D37" s="223">
        <f>D34*D33</f>
        <v>0.284973354991308</v>
      </c>
      <c r="E37" s="223">
        <f>E34*E33</f>
        <v>0.160040010002501</v>
      </c>
      <c r="F37" s="223">
        <f>F34*F33</f>
        <v>0.0853866796779702</v>
      </c>
      <c r="G37" s="224"/>
      <c r="H37" s="221" t="s">
        <v>114</v>
      </c>
      <c r="J37" s="244" t="s">
        <v>99</v>
      </c>
      <c r="K37" s="244">
        <v>150</v>
      </c>
      <c r="L37" s="244">
        <v>300</v>
      </c>
    </row>
    <row r="38" s="131" customFormat="1" ht="24.95" customHeight="1" spans="2:13">
      <c r="B38" s="225"/>
      <c r="C38" s="226" t="s">
        <v>115</v>
      </c>
      <c r="D38" s="219">
        <f>D16*D11*D39</f>
        <v>6188.8827</v>
      </c>
      <c r="E38" s="219">
        <f>E16*E11*E39</f>
        <v>11622.993525</v>
      </c>
      <c r="F38" s="219">
        <f>F16*F11*F39</f>
        <v>21805.0404</v>
      </c>
      <c r="G38" s="220">
        <f>SUM(D38:F38)</f>
        <v>39616.916625</v>
      </c>
      <c r="H38" s="227"/>
      <c r="J38" s="244" t="s">
        <v>116</v>
      </c>
      <c r="K38" s="244">
        <v>35</v>
      </c>
      <c r="L38" s="244">
        <v>70</v>
      </c>
      <c r="M38" s="129"/>
    </row>
    <row r="39" s="128" customFormat="1" ht="24.95" customHeight="1" spans="2:12">
      <c r="B39" s="163"/>
      <c r="C39" s="222" t="s">
        <v>117</v>
      </c>
      <c r="D39" s="228">
        <v>0.15</v>
      </c>
      <c r="E39" s="228">
        <v>0.15</v>
      </c>
      <c r="F39" s="228">
        <v>0.15</v>
      </c>
      <c r="G39" s="229"/>
      <c r="H39" s="221"/>
      <c r="J39" s="244" t="s">
        <v>105</v>
      </c>
      <c r="K39" s="244">
        <v>25</v>
      </c>
      <c r="L39" s="244">
        <v>50</v>
      </c>
    </row>
    <row r="40" s="128" customFormat="1" ht="24.95" customHeight="1" spans="2:13">
      <c r="B40" s="163"/>
      <c r="C40" s="222" t="s">
        <v>118</v>
      </c>
      <c r="D40" s="230">
        <v>6.37</v>
      </c>
      <c r="E40" s="231">
        <f>D40</f>
        <v>6.37</v>
      </c>
      <c r="F40" s="231">
        <f>E40</f>
        <v>6.37</v>
      </c>
      <c r="G40" s="224"/>
      <c r="H40" s="221"/>
      <c r="J40" s="244" t="s">
        <v>119</v>
      </c>
      <c r="K40" s="244">
        <v>20</v>
      </c>
      <c r="L40" s="244">
        <v>40</v>
      </c>
      <c r="M40" s="131"/>
    </row>
    <row r="41" s="128" customFormat="1" ht="24.95" customHeight="1" spans="2:8">
      <c r="B41" s="163"/>
      <c r="C41" s="222" t="s">
        <v>120</v>
      </c>
      <c r="D41" s="231">
        <f>D40*D15</f>
        <v>45.5455</v>
      </c>
      <c r="E41" s="231">
        <f>E40*E15</f>
        <v>45.5455</v>
      </c>
      <c r="F41" s="231">
        <f>F40*F15</f>
        <v>45.5455</v>
      </c>
      <c r="G41" s="224"/>
      <c r="H41" s="221" t="s">
        <v>121</v>
      </c>
    </row>
    <row r="42" s="128" customFormat="1" ht="24.95" customHeight="1" spans="2:8">
      <c r="B42" s="163"/>
      <c r="C42" s="222" t="s">
        <v>122</v>
      </c>
      <c r="D42" s="219">
        <f>D41*D11</f>
        <v>6740.734</v>
      </c>
      <c r="E42" s="219">
        <f>E41*E11</f>
        <v>12342.8305</v>
      </c>
      <c r="F42" s="219">
        <f>F41*F11</f>
        <v>22590.568</v>
      </c>
      <c r="G42" s="220">
        <f>SUM(D42:F42)</f>
        <v>41674.1325</v>
      </c>
      <c r="H42" s="221"/>
    </row>
    <row r="43" s="128" customFormat="1" ht="24.95" customHeight="1" spans="2:8">
      <c r="B43" s="163"/>
      <c r="C43" s="226" t="s">
        <v>123</v>
      </c>
      <c r="D43" s="219">
        <f>ROUND(D19*2%,2)</f>
        <v>825.18</v>
      </c>
      <c r="E43" s="219">
        <f>ROUND(E19*2%,2)</f>
        <v>1549.73</v>
      </c>
      <c r="F43" s="219">
        <f>ROUND(F19*2%,2)</f>
        <v>2907.34</v>
      </c>
      <c r="G43" s="220">
        <f>SUM(D43:F43)</f>
        <v>5282.25</v>
      </c>
      <c r="H43" s="221" t="s">
        <v>124</v>
      </c>
    </row>
    <row r="44" s="128" customFormat="1" ht="24.95" customHeight="1" spans="2:8">
      <c r="B44" s="163"/>
      <c r="C44" s="226" t="s">
        <v>125</v>
      </c>
      <c r="D44" s="230">
        <v>10.9</v>
      </c>
      <c r="E44" s="231">
        <f>D44</f>
        <v>10.9</v>
      </c>
      <c r="F44" s="231">
        <f>E44</f>
        <v>10.9</v>
      </c>
      <c r="G44" s="224"/>
      <c r="H44" s="221" t="s">
        <v>126</v>
      </c>
    </row>
    <row r="45" s="128" customFormat="1" ht="24.95" customHeight="1" spans="2:8">
      <c r="B45" s="163"/>
      <c r="C45" s="226" t="s">
        <v>127</v>
      </c>
      <c r="D45" s="219">
        <f>D44*D11</f>
        <v>1613.2</v>
      </c>
      <c r="E45" s="219">
        <f>E44*E11</f>
        <v>2953.9</v>
      </c>
      <c r="F45" s="219">
        <f>F44*F11</f>
        <v>5406.4</v>
      </c>
      <c r="G45" s="220">
        <f>SUM(D45:F45)</f>
        <v>9973.5</v>
      </c>
      <c r="H45" s="221"/>
    </row>
    <row r="46" s="128" customFormat="1" ht="24.95" customHeight="1" spans="2:8">
      <c r="B46" s="163"/>
      <c r="C46" s="226" t="s">
        <v>128</v>
      </c>
      <c r="D46" s="230">
        <f>1400/30</f>
        <v>46.6666666666667</v>
      </c>
      <c r="E46" s="230">
        <v>70</v>
      </c>
      <c r="F46" s="230">
        <v>70</v>
      </c>
      <c r="G46" s="224"/>
      <c r="H46" s="221" t="s">
        <v>129</v>
      </c>
    </row>
    <row r="47" s="128" customFormat="1" ht="24.95" customHeight="1" spans="2:8">
      <c r="B47" s="163"/>
      <c r="C47" s="226" t="s">
        <v>130</v>
      </c>
      <c r="D47" s="219">
        <f>((D14*0.15+D40)*D15+D20+D44+D46)*D9</f>
        <v>7257.655075</v>
      </c>
      <c r="E47" s="219">
        <f>((E14*0.15+E40)*E15+E20+E44+E46)*E9</f>
        <v>1221.673875</v>
      </c>
      <c r="F47" s="219">
        <f>((F14*0.15+F40)*F15+F20+F44+F46)*F9</f>
        <v>1963.2582</v>
      </c>
      <c r="G47" s="220">
        <f>SUM(D47:F47)</f>
        <v>10442.58715</v>
      </c>
      <c r="H47" s="221"/>
    </row>
    <row r="48" s="128" customFormat="1" ht="24.95" customHeight="1" spans="2:8">
      <c r="B48" s="163"/>
      <c r="C48" s="226" t="s">
        <v>131</v>
      </c>
      <c r="D48" s="231">
        <v>0</v>
      </c>
      <c r="E48" s="231">
        <v>0</v>
      </c>
      <c r="F48" s="231">
        <v>0</v>
      </c>
      <c r="G48" s="224">
        <f>SUM(D48:F48)</f>
        <v>0</v>
      </c>
      <c r="H48" s="221" t="s">
        <v>132</v>
      </c>
    </row>
    <row r="49" s="128" customFormat="1" ht="24.95" customHeight="1" spans="2:8">
      <c r="B49" s="163"/>
      <c r="C49" s="226" t="s">
        <v>133</v>
      </c>
      <c r="D49" s="219">
        <f>D48+D47+D45+D43+D42+D38+D35+D29+D17*D19</f>
        <v>44730.0858727778</v>
      </c>
      <c r="E49" s="219">
        <f>E48+E47+E45+E43+E42+E38+E35+E29+E17*E19</f>
        <v>54296.376425</v>
      </c>
      <c r="F49" s="219">
        <f>F48+F47+F45+F43+F42+F38+F35+F29+F17*F19</f>
        <v>81019.16684</v>
      </c>
      <c r="G49" s="220">
        <f>G48+G47+G45+G43+G42+G38+G35+G29+G17*G19</f>
        <v>166839.990262778</v>
      </c>
      <c r="H49" s="221"/>
    </row>
    <row r="50" s="128" customFormat="1" ht="24.95" customHeight="1" spans="2:8">
      <c r="B50" s="183"/>
      <c r="C50" s="232" t="s">
        <v>134</v>
      </c>
      <c r="D50" s="233">
        <f>D49/D18</f>
        <v>1.08412345267372</v>
      </c>
      <c r="E50" s="233">
        <f>E49/E18</f>
        <v>0.700719349643619</v>
      </c>
      <c r="F50" s="233">
        <f>F49/F18</f>
        <v>0.557342467753465</v>
      </c>
      <c r="G50" s="234">
        <f>G49/G18</f>
        <v>0.631699805825478</v>
      </c>
      <c r="H50" s="235"/>
    </row>
    <row r="51" s="132" customFormat="1" ht="24.95" customHeight="1" spans="2:14">
      <c r="B51" s="236" t="s">
        <v>135</v>
      </c>
      <c r="C51" s="237" t="s">
        <v>136</v>
      </c>
      <c r="D51" s="238">
        <f>D22-D49</f>
        <v>-14570.8678727778</v>
      </c>
      <c r="E51" s="238">
        <f>E22-E49</f>
        <v>2865.24707500001</v>
      </c>
      <c r="F51" s="238">
        <f>F22-F49</f>
        <v>27147.76916</v>
      </c>
      <c r="G51" s="238">
        <f>SUM(D51:F51)</f>
        <v>15442.1483622223</v>
      </c>
      <c r="H51" s="157"/>
      <c r="J51" s="128"/>
      <c r="K51" s="128"/>
      <c r="L51" s="128"/>
      <c r="M51" s="128"/>
      <c r="N51" s="128"/>
    </row>
    <row r="52" s="132" customFormat="1" ht="24.95" customHeight="1" spans="2:13">
      <c r="B52" s="239"/>
      <c r="C52" s="240" t="s">
        <v>137</v>
      </c>
      <c r="D52" s="241">
        <f>D51/D18</f>
        <v>-0.353154242350831</v>
      </c>
      <c r="E52" s="241">
        <f>E51/E18</f>
        <v>0.0369773122841003</v>
      </c>
      <c r="F52" s="241">
        <f>F51/F18</f>
        <v>0.186753397347524</v>
      </c>
      <c r="G52" s="241">
        <f>G51/G18</f>
        <v>0.0584680094177657</v>
      </c>
      <c r="H52" s="242"/>
      <c r="J52" s="128"/>
      <c r="K52" s="128"/>
      <c r="L52" s="128"/>
      <c r="M52" s="128"/>
    </row>
    <row r="53" s="128" customFormat="1" customHeight="1" spans="6:14">
      <c r="F53" s="134"/>
      <c r="G53" s="134"/>
      <c r="J53" s="132"/>
      <c r="N53" s="132"/>
    </row>
    <row r="54" s="133" customFormat="1" customHeight="1" spans="2:14">
      <c r="B54" s="243" t="s">
        <v>138</v>
      </c>
      <c r="C54" s="244" t="s">
        <v>139</v>
      </c>
      <c r="D54" s="244"/>
      <c r="E54" s="244"/>
      <c r="F54" s="245"/>
      <c r="G54" s="246"/>
      <c r="H54" s="142"/>
      <c r="J54" s="132"/>
      <c r="K54" s="132"/>
      <c r="L54" s="132"/>
      <c r="M54" s="132"/>
      <c r="N54" s="128"/>
    </row>
    <row r="55" s="133" customFormat="1" ht="33.95" customHeight="1" spans="2:13">
      <c r="B55" s="243"/>
      <c r="C55" s="247" t="s">
        <v>140</v>
      </c>
      <c r="D55" s="244"/>
      <c r="E55" s="244"/>
      <c r="F55" s="244"/>
      <c r="G55" s="244"/>
      <c r="H55" s="244"/>
      <c r="J55" s="128"/>
      <c r="K55" s="132"/>
      <c r="L55" s="132"/>
      <c r="M55" s="132"/>
    </row>
    <row r="56" s="133" customFormat="1" customHeight="1" spans="2:13">
      <c r="B56" s="243"/>
      <c r="C56" s="244" t="s">
        <v>141</v>
      </c>
      <c r="D56" s="244"/>
      <c r="E56" s="244"/>
      <c r="F56" s="245"/>
      <c r="G56" s="246"/>
      <c r="H56" s="142"/>
      <c r="K56" s="128"/>
      <c r="L56" s="128"/>
      <c r="M56" s="128"/>
    </row>
    <row r="57" s="128" customFormat="1" customHeight="1" spans="6:13">
      <c r="F57" s="134"/>
      <c r="G57" s="134"/>
      <c r="J57" s="133"/>
      <c r="K57" s="133"/>
      <c r="L57" s="133"/>
      <c r="M57" s="133"/>
    </row>
    <row r="58" s="128" customFormat="1" customHeight="1" spans="2:13">
      <c r="B58" s="243" t="s">
        <v>142</v>
      </c>
      <c r="C58" s="244" t="s">
        <v>143</v>
      </c>
      <c r="D58" s="244" t="s">
        <v>144</v>
      </c>
      <c r="E58" s="244" t="s">
        <v>145</v>
      </c>
      <c r="F58" s="245" t="s">
        <v>146</v>
      </c>
      <c r="G58" s="245" t="s">
        <v>147</v>
      </c>
      <c r="H58" s="244" t="s">
        <v>148</v>
      </c>
      <c r="K58" s="133"/>
      <c r="L58" s="133"/>
      <c r="M58" s="133"/>
    </row>
    <row r="59" s="128" customFormat="1" customHeight="1" spans="2:8">
      <c r="B59" s="243"/>
      <c r="C59" s="244" t="s">
        <v>149</v>
      </c>
      <c r="D59" s="248">
        <f>D10</f>
        <v>115</v>
      </c>
      <c r="E59" s="249">
        <f>D19</f>
        <v>41259.218</v>
      </c>
      <c r="F59" s="249">
        <f>D35</f>
        <v>11757.7777777778</v>
      </c>
      <c r="G59" s="250">
        <f>D37</f>
        <v>0.284973354991308</v>
      </c>
      <c r="H59" s="251">
        <f>D51</f>
        <v>-14570.8678727778</v>
      </c>
    </row>
    <row r="60" s="128" customFormat="1" customHeight="1" spans="2:8">
      <c r="B60" s="243"/>
      <c r="C60" s="244" t="s">
        <v>18</v>
      </c>
      <c r="D60" s="248">
        <f>E10</f>
        <v>266</v>
      </c>
      <c r="E60" s="249">
        <f>E19</f>
        <v>77486.6235</v>
      </c>
      <c r="F60" s="249">
        <f>E35</f>
        <v>12400.96</v>
      </c>
      <c r="G60" s="250">
        <f>E37</f>
        <v>0.160040010002501</v>
      </c>
      <c r="H60" s="251">
        <f>E51</f>
        <v>2865.24707500001</v>
      </c>
    </row>
    <row r="61" s="128" customFormat="1" customHeight="1" spans="2:8">
      <c r="B61" s="243"/>
      <c r="C61" s="244" t="s">
        <v>150</v>
      </c>
      <c r="D61" s="248">
        <f>F10</f>
        <v>488</v>
      </c>
      <c r="E61" s="249">
        <f>F19</f>
        <v>145366.936</v>
      </c>
      <c r="F61" s="249">
        <f>F35</f>
        <v>12412.4</v>
      </c>
      <c r="G61" s="250">
        <f>F37</f>
        <v>0.0853866796779702</v>
      </c>
      <c r="H61" s="251">
        <f>F51</f>
        <v>27147.76916</v>
      </c>
    </row>
    <row r="72" customHeight="1" spans="5:5">
      <c r="E72" s="34" t="s">
        <v>151</v>
      </c>
    </row>
  </sheetData>
  <mergeCells count="23">
    <mergeCell ref="B2:H2"/>
    <mergeCell ref="J2:M2"/>
    <mergeCell ref="K5:M5"/>
    <mergeCell ref="K6:M6"/>
    <mergeCell ref="B7:C7"/>
    <mergeCell ref="D7:E7"/>
    <mergeCell ref="K10:M10"/>
    <mergeCell ref="J13:M13"/>
    <mergeCell ref="J17:M17"/>
    <mergeCell ref="J30:K30"/>
    <mergeCell ref="J35:L35"/>
    <mergeCell ref="C55:H55"/>
    <mergeCell ref="B9:B19"/>
    <mergeCell ref="B20:B21"/>
    <mergeCell ref="B22:B23"/>
    <mergeCell ref="B24:B29"/>
    <mergeCell ref="B30:B34"/>
    <mergeCell ref="B35:B50"/>
    <mergeCell ref="B51:B52"/>
    <mergeCell ref="B54:B56"/>
    <mergeCell ref="B58:B61"/>
    <mergeCell ref="G7:G8"/>
    <mergeCell ref="H7:H8"/>
  </mergeCells>
  <dataValidations count="2">
    <dataValidation type="list" allowBlank="1" showInputMessage="1" showErrorMessage="1" sqref="C5">
      <formula1>"美元,英镑,欧元"</formula1>
    </dataValidation>
    <dataValidation type="list" allowBlank="1" showInputMessage="1" showErrorMessage="1" sqref="D14:F14">
      <formula1>'毛利测算表-US'!$B$5:$B$14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B1:U92"/>
  <sheetViews>
    <sheetView showGridLines="0" zoomScale="70" zoomScaleNormal="70" workbookViewId="0">
      <selection activeCell="L103" sqref="L103"/>
    </sheetView>
  </sheetViews>
  <sheetFormatPr defaultColWidth="9" defaultRowHeight="16.5" customHeight="1"/>
  <cols>
    <col min="1" max="1" width="4.5" style="54" customWidth="1"/>
    <col min="2" max="2" width="12.125" style="54" customWidth="1"/>
    <col min="3" max="6" width="11.125" style="54" customWidth="1"/>
    <col min="7" max="7" width="10.375" style="54" customWidth="1"/>
    <col min="8" max="8" width="17.125" style="54" customWidth="1"/>
    <col min="9" max="9" width="16.5" style="54" customWidth="1"/>
    <col min="10" max="10" width="11.125" style="54" customWidth="1"/>
    <col min="11" max="11" width="2.125" style="54" customWidth="1"/>
    <col min="12" max="12" width="24.5" style="54" customWidth="1"/>
    <col min="13" max="13" width="19.125" style="54" customWidth="1"/>
    <col min="14" max="15" width="11.125" style="54" customWidth="1"/>
    <col min="16" max="16" width="15.125" style="54" customWidth="1"/>
    <col min="17" max="17" width="12.375" style="54" customWidth="1"/>
    <col min="18" max="18" width="11.125" style="54" customWidth="1"/>
    <col min="19" max="19" width="12.375" style="54" customWidth="1"/>
    <col min="20" max="20" width="16.5" style="54" customWidth="1"/>
    <col min="21" max="21" width="12.375" style="54" customWidth="1"/>
    <col min="22" max="40" width="9" style="54"/>
  </cols>
  <sheetData>
    <row r="1" ht="17.25" customHeight="1" spans="2:10">
      <c r="B1" s="5"/>
      <c r="C1" s="5"/>
      <c r="D1" s="5"/>
      <c r="E1" s="5"/>
      <c r="F1" s="5"/>
      <c r="G1" s="5"/>
      <c r="H1" s="5"/>
      <c r="I1" s="5"/>
      <c r="J1" s="5"/>
    </row>
    <row r="2" ht="42" customHeight="1" spans="2:15">
      <c r="B2" s="102" t="s">
        <v>152</v>
      </c>
      <c r="C2" s="102" t="s">
        <v>143</v>
      </c>
      <c r="D2" s="102" t="s">
        <v>153</v>
      </c>
      <c r="E2" s="102" t="s">
        <v>154</v>
      </c>
      <c r="F2" s="103" t="s">
        <v>155</v>
      </c>
      <c r="G2" s="104" t="s">
        <v>156</v>
      </c>
      <c r="H2" s="102" t="s">
        <v>157</v>
      </c>
      <c r="I2" s="102" t="s">
        <v>158</v>
      </c>
      <c r="J2" s="102" t="s">
        <v>159</v>
      </c>
      <c r="L2" s="110" t="s">
        <v>160</v>
      </c>
      <c r="M2" s="111"/>
      <c r="N2" s="111"/>
      <c r="O2" s="112"/>
    </row>
    <row r="3" ht="20.25" customHeight="1" spans="2:15">
      <c r="B3" s="105">
        <v>44622</v>
      </c>
      <c r="C3" s="106" t="s">
        <v>161</v>
      </c>
      <c r="D3" s="106" t="s">
        <v>162</v>
      </c>
      <c r="E3" s="107">
        <v>1</v>
      </c>
      <c r="F3" s="108">
        <v>39.97</v>
      </c>
      <c r="G3" s="109">
        <f t="shared" ref="G3:G34" si="0">VLOOKUP(D3,L:N,3,0)</f>
        <v>2</v>
      </c>
      <c r="H3" s="109">
        <f>M21</f>
        <v>400</v>
      </c>
      <c r="I3" s="109">
        <f>H3-G3</f>
        <v>398</v>
      </c>
      <c r="J3" s="113"/>
      <c r="L3" s="114" t="s">
        <v>163</v>
      </c>
      <c r="M3" s="114" t="s">
        <v>164</v>
      </c>
      <c r="N3" s="114" t="s">
        <v>165</v>
      </c>
      <c r="O3" s="114" t="s">
        <v>166</v>
      </c>
    </row>
    <row r="4" ht="17.25" customHeight="1" spans="2:15">
      <c r="B4" s="105">
        <v>44623</v>
      </c>
      <c r="C4" s="106" t="s">
        <v>161</v>
      </c>
      <c r="D4" s="106" t="s">
        <v>162</v>
      </c>
      <c r="E4" s="107">
        <v>2</v>
      </c>
      <c r="F4" s="108">
        <v>39.97</v>
      </c>
      <c r="G4" s="109">
        <f t="shared" si="0"/>
        <v>2</v>
      </c>
      <c r="H4" s="109">
        <f t="shared" ref="H4:H67" si="1">IF(I3&lt;0,0,I3)</f>
        <v>398</v>
      </c>
      <c r="I4" s="109">
        <f t="shared" ref="I4:I67" si="2">IF(H4-G4+J4&lt;0,0,H4-G4+J4)</f>
        <v>396</v>
      </c>
      <c r="J4" s="115"/>
      <c r="L4" s="4" t="s">
        <v>162</v>
      </c>
      <c r="M4" s="116">
        <v>600</v>
      </c>
      <c r="N4" s="29">
        <v>2</v>
      </c>
      <c r="O4" s="117">
        <f t="shared" ref="O4:O16" si="3">N4*7</f>
        <v>14</v>
      </c>
    </row>
    <row r="5" ht="17.25" customHeight="1" spans="2:15">
      <c r="B5" s="105">
        <v>44624</v>
      </c>
      <c r="C5" s="106" t="s">
        <v>161</v>
      </c>
      <c r="D5" s="106" t="s">
        <v>162</v>
      </c>
      <c r="E5" s="107">
        <v>3</v>
      </c>
      <c r="F5" s="108">
        <v>39.97</v>
      </c>
      <c r="G5" s="109">
        <f t="shared" si="0"/>
        <v>2</v>
      </c>
      <c r="H5" s="109">
        <f t="shared" si="1"/>
        <v>396</v>
      </c>
      <c r="I5" s="109">
        <f t="shared" si="2"/>
        <v>394</v>
      </c>
      <c r="J5" s="113"/>
      <c r="L5" s="4" t="s">
        <v>167</v>
      </c>
      <c r="M5" s="116">
        <v>520</v>
      </c>
      <c r="N5" s="29">
        <v>4</v>
      </c>
      <c r="O5" s="117">
        <f t="shared" si="3"/>
        <v>28</v>
      </c>
    </row>
    <row r="6" ht="17.25" customHeight="1" spans="2:15">
      <c r="B6" s="105">
        <v>44625</v>
      </c>
      <c r="C6" s="106" t="s">
        <v>161</v>
      </c>
      <c r="D6" s="106" t="s">
        <v>162</v>
      </c>
      <c r="E6" s="107">
        <v>4</v>
      </c>
      <c r="F6" s="108">
        <v>39.97</v>
      </c>
      <c r="G6" s="109">
        <f t="shared" si="0"/>
        <v>2</v>
      </c>
      <c r="H6" s="109">
        <f t="shared" si="1"/>
        <v>394</v>
      </c>
      <c r="I6" s="109">
        <f t="shared" si="2"/>
        <v>392</v>
      </c>
      <c r="J6" s="115"/>
      <c r="L6" s="4" t="s">
        <v>168</v>
      </c>
      <c r="M6" s="116">
        <v>460</v>
      </c>
      <c r="N6" s="29">
        <v>4</v>
      </c>
      <c r="O6" s="117">
        <f t="shared" si="3"/>
        <v>28</v>
      </c>
    </row>
    <row r="7" ht="17.25" customHeight="1" spans="2:15">
      <c r="B7" s="105">
        <v>44626</v>
      </c>
      <c r="C7" s="106" t="s">
        <v>161</v>
      </c>
      <c r="D7" s="106" t="s">
        <v>162</v>
      </c>
      <c r="E7" s="107">
        <v>5</v>
      </c>
      <c r="F7" s="108">
        <v>39.97</v>
      </c>
      <c r="G7" s="109">
        <f t="shared" si="0"/>
        <v>2</v>
      </c>
      <c r="H7" s="109">
        <f t="shared" si="1"/>
        <v>392</v>
      </c>
      <c r="I7" s="109">
        <f t="shared" si="2"/>
        <v>390</v>
      </c>
      <c r="J7" s="113"/>
      <c r="L7" s="4" t="s">
        <v>169</v>
      </c>
      <c r="M7" s="116">
        <v>410</v>
      </c>
      <c r="N7" s="29">
        <v>5</v>
      </c>
      <c r="O7" s="117">
        <f t="shared" si="3"/>
        <v>35</v>
      </c>
    </row>
    <row r="8" ht="17.25" customHeight="1" spans="2:15">
      <c r="B8" s="105">
        <v>44627</v>
      </c>
      <c r="C8" s="106" t="s">
        <v>161</v>
      </c>
      <c r="D8" s="106" t="s">
        <v>162</v>
      </c>
      <c r="E8" s="107">
        <v>6</v>
      </c>
      <c r="F8" s="108">
        <v>39.97</v>
      </c>
      <c r="G8" s="109">
        <f t="shared" si="0"/>
        <v>2</v>
      </c>
      <c r="H8" s="109">
        <f t="shared" si="1"/>
        <v>390</v>
      </c>
      <c r="I8" s="109">
        <f t="shared" si="2"/>
        <v>388</v>
      </c>
      <c r="J8" s="115"/>
      <c r="L8" s="4" t="s">
        <v>170</v>
      </c>
      <c r="M8" s="116">
        <v>380</v>
      </c>
      <c r="N8" s="29">
        <v>5</v>
      </c>
      <c r="O8" s="117">
        <f t="shared" si="3"/>
        <v>35</v>
      </c>
    </row>
    <row r="9" ht="17.25" customHeight="1" spans="2:15">
      <c r="B9" s="105">
        <v>44628</v>
      </c>
      <c r="C9" s="106" t="s">
        <v>161</v>
      </c>
      <c r="D9" s="106" t="s">
        <v>162</v>
      </c>
      <c r="E9" s="107">
        <v>7</v>
      </c>
      <c r="F9" s="108">
        <v>39.97</v>
      </c>
      <c r="G9" s="109">
        <f t="shared" si="0"/>
        <v>2</v>
      </c>
      <c r="H9" s="109">
        <f t="shared" si="1"/>
        <v>388</v>
      </c>
      <c r="I9" s="109">
        <f t="shared" si="2"/>
        <v>386</v>
      </c>
      <c r="J9" s="113"/>
      <c r="L9" s="4" t="s">
        <v>171</v>
      </c>
      <c r="M9" s="116">
        <v>350</v>
      </c>
      <c r="N9" s="29">
        <v>7</v>
      </c>
      <c r="O9" s="117">
        <f t="shared" si="3"/>
        <v>49</v>
      </c>
    </row>
    <row r="10" ht="17.25" customHeight="1" spans="2:15">
      <c r="B10" s="105">
        <v>44629</v>
      </c>
      <c r="C10" s="106" t="s">
        <v>161</v>
      </c>
      <c r="D10" s="106" t="s">
        <v>167</v>
      </c>
      <c r="E10" s="107">
        <v>8</v>
      </c>
      <c r="F10" s="108">
        <v>39.97</v>
      </c>
      <c r="G10" s="109">
        <f t="shared" si="0"/>
        <v>4</v>
      </c>
      <c r="H10" s="109">
        <f t="shared" si="1"/>
        <v>386</v>
      </c>
      <c r="I10" s="109">
        <f t="shared" si="2"/>
        <v>382</v>
      </c>
      <c r="J10" s="115"/>
      <c r="L10" s="4" t="s">
        <v>172</v>
      </c>
      <c r="M10" s="116">
        <v>300</v>
      </c>
      <c r="N10" s="29">
        <v>9</v>
      </c>
      <c r="O10" s="117">
        <f t="shared" si="3"/>
        <v>63</v>
      </c>
    </row>
    <row r="11" ht="17.25" customHeight="1" spans="2:15">
      <c r="B11" s="105">
        <v>44630</v>
      </c>
      <c r="C11" s="106" t="s">
        <v>161</v>
      </c>
      <c r="D11" s="106" t="s">
        <v>167</v>
      </c>
      <c r="E11" s="107">
        <v>9</v>
      </c>
      <c r="F11" s="108">
        <v>39.97</v>
      </c>
      <c r="G11" s="109">
        <f t="shared" si="0"/>
        <v>4</v>
      </c>
      <c r="H11" s="109">
        <f t="shared" si="1"/>
        <v>382</v>
      </c>
      <c r="I11" s="109">
        <f t="shared" si="2"/>
        <v>378</v>
      </c>
      <c r="J11" s="113"/>
      <c r="L11" s="4" t="s">
        <v>173</v>
      </c>
      <c r="M11" s="116">
        <v>280</v>
      </c>
      <c r="N11" s="29">
        <v>11</v>
      </c>
      <c r="O11" s="117">
        <f t="shared" si="3"/>
        <v>77</v>
      </c>
    </row>
    <row r="12" ht="17.25" customHeight="1" spans="2:15">
      <c r="B12" s="105">
        <v>44631</v>
      </c>
      <c r="C12" s="106" t="s">
        <v>161</v>
      </c>
      <c r="D12" s="106" t="s">
        <v>167</v>
      </c>
      <c r="E12" s="107">
        <v>10</v>
      </c>
      <c r="F12" s="108">
        <v>39.97</v>
      </c>
      <c r="G12" s="109">
        <f t="shared" si="0"/>
        <v>4</v>
      </c>
      <c r="H12" s="109">
        <f t="shared" si="1"/>
        <v>378</v>
      </c>
      <c r="I12" s="109">
        <f t="shared" si="2"/>
        <v>374</v>
      </c>
      <c r="J12" s="115"/>
      <c r="L12" s="4" t="s">
        <v>174</v>
      </c>
      <c r="M12" s="116">
        <v>210</v>
      </c>
      <c r="N12" s="29">
        <v>13</v>
      </c>
      <c r="O12" s="117">
        <f t="shared" si="3"/>
        <v>91</v>
      </c>
    </row>
    <row r="13" ht="17.25" customHeight="1" spans="2:15">
      <c r="B13" s="105">
        <v>44632</v>
      </c>
      <c r="C13" s="106" t="s">
        <v>161</v>
      </c>
      <c r="D13" s="106" t="s">
        <v>167</v>
      </c>
      <c r="E13" s="107">
        <v>11</v>
      </c>
      <c r="F13" s="108">
        <v>39.97</v>
      </c>
      <c r="G13" s="109">
        <f t="shared" si="0"/>
        <v>4</v>
      </c>
      <c r="H13" s="109">
        <f t="shared" si="1"/>
        <v>374</v>
      </c>
      <c r="I13" s="109">
        <f t="shared" si="2"/>
        <v>370</v>
      </c>
      <c r="J13" s="113"/>
      <c r="L13" s="4" t="s">
        <v>175</v>
      </c>
      <c r="M13" s="116">
        <v>180</v>
      </c>
      <c r="N13" s="29">
        <v>15</v>
      </c>
      <c r="O13" s="117">
        <f t="shared" si="3"/>
        <v>105</v>
      </c>
    </row>
    <row r="14" ht="17.25" customHeight="1" spans="2:15">
      <c r="B14" s="105">
        <v>44633</v>
      </c>
      <c r="C14" s="106" t="s">
        <v>161</v>
      </c>
      <c r="D14" s="106" t="s">
        <v>167</v>
      </c>
      <c r="E14" s="107">
        <v>12</v>
      </c>
      <c r="F14" s="108">
        <v>39.97</v>
      </c>
      <c r="G14" s="109">
        <f t="shared" si="0"/>
        <v>4</v>
      </c>
      <c r="H14" s="109">
        <f t="shared" si="1"/>
        <v>370</v>
      </c>
      <c r="I14" s="109">
        <f t="shared" si="2"/>
        <v>366</v>
      </c>
      <c r="J14" s="115"/>
      <c r="L14" s="4" t="s">
        <v>176</v>
      </c>
      <c r="M14" s="116">
        <v>150</v>
      </c>
      <c r="N14" s="29">
        <v>16</v>
      </c>
      <c r="O14" s="117">
        <f t="shared" si="3"/>
        <v>112</v>
      </c>
    </row>
    <row r="15" ht="17.25" customHeight="1" spans="2:15">
      <c r="B15" s="105">
        <v>44634</v>
      </c>
      <c r="C15" s="106" t="s">
        <v>161</v>
      </c>
      <c r="D15" s="106" t="s">
        <v>167</v>
      </c>
      <c r="E15" s="107">
        <v>13</v>
      </c>
      <c r="F15" s="108">
        <v>39.97</v>
      </c>
      <c r="G15" s="109">
        <f t="shared" si="0"/>
        <v>4</v>
      </c>
      <c r="H15" s="109">
        <f t="shared" si="1"/>
        <v>366</v>
      </c>
      <c r="I15" s="109">
        <f t="shared" si="2"/>
        <v>362</v>
      </c>
      <c r="J15" s="113"/>
      <c r="L15" s="4" t="s">
        <v>177</v>
      </c>
      <c r="M15" s="116">
        <v>150</v>
      </c>
      <c r="N15" s="29">
        <v>16</v>
      </c>
      <c r="O15" s="117">
        <f t="shared" si="3"/>
        <v>112</v>
      </c>
    </row>
    <row r="16" ht="17.25" customHeight="1" spans="2:15">
      <c r="B16" s="105">
        <v>44635</v>
      </c>
      <c r="C16" s="106" t="s">
        <v>161</v>
      </c>
      <c r="D16" s="106" t="s">
        <v>167</v>
      </c>
      <c r="E16" s="107">
        <v>14</v>
      </c>
      <c r="F16" s="108">
        <v>39.97</v>
      </c>
      <c r="G16" s="109">
        <f t="shared" si="0"/>
        <v>4</v>
      </c>
      <c r="H16" s="109">
        <f t="shared" si="1"/>
        <v>362</v>
      </c>
      <c r="I16" s="109">
        <f t="shared" si="2"/>
        <v>358</v>
      </c>
      <c r="J16" s="115"/>
      <c r="L16" s="4" t="s">
        <v>178</v>
      </c>
      <c r="M16" s="116">
        <v>120</v>
      </c>
      <c r="N16" s="29">
        <v>20</v>
      </c>
      <c r="O16" s="117">
        <f t="shared" si="3"/>
        <v>140</v>
      </c>
    </row>
    <row r="17" ht="17.25" customHeight="1" spans="2:15">
      <c r="B17" s="105">
        <v>44636</v>
      </c>
      <c r="C17" s="106" t="s">
        <v>161</v>
      </c>
      <c r="D17" s="106" t="s">
        <v>168</v>
      </c>
      <c r="E17" s="107">
        <v>15</v>
      </c>
      <c r="F17" s="108">
        <v>39.97</v>
      </c>
      <c r="G17" s="109">
        <f t="shared" si="0"/>
        <v>4</v>
      </c>
      <c r="H17" s="109">
        <f t="shared" si="1"/>
        <v>358</v>
      </c>
      <c r="I17" s="109">
        <f t="shared" si="2"/>
        <v>354</v>
      </c>
      <c r="J17" s="113"/>
      <c r="L17" s="4" t="s">
        <v>179</v>
      </c>
      <c r="M17" s="118"/>
      <c r="N17" s="30"/>
      <c r="O17" s="117">
        <f>SUM(O4:O16)</f>
        <v>889</v>
      </c>
    </row>
    <row r="18" customHeight="1" spans="2:10">
      <c r="B18" s="105">
        <v>44637</v>
      </c>
      <c r="C18" s="106" t="s">
        <v>161</v>
      </c>
      <c r="D18" s="106" t="s">
        <v>168</v>
      </c>
      <c r="E18" s="107">
        <v>16</v>
      </c>
      <c r="F18" s="108">
        <v>39.97</v>
      </c>
      <c r="G18" s="109">
        <f t="shared" si="0"/>
        <v>4</v>
      </c>
      <c r="H18" s="109">
        <f t="shared" si="1"/>
        <v>354</v>
      </c>
      <c r="I18" s="109">
        <f t="shared" si="2"/>
        <v>350</v>
      </c>
      <c r="J18" s="115"/>
    </row>
    <row r="19" ht="21" customHeight="1" spans="2:21">
      <c r="B19" s="105">
        <v>44638</v>
      </c>
      <c r="C19" s="106" t="s">
        <v>161</v>
      </c>
      <c r="D19" s="106" t="s">
        <v>168</v>
      </c>
      <c r="E19" s="107">
        <v>17</v>
      </c>
      <c r="F19" s="108">
        <v>39.97</v>
      </c>
      <c r="G19" s="109">
        <f t="shared" si="0"/>
        <v>4</v>
      </c>
      <c r="H19" s="109">
        <f t="shared" si="1"/>
        <v>350</v>
      </c>
      <c r="I19" s="109">
        <f t="shared" si="2"/>
        <v>346</v>
      </c>
      <c r="J19" s="113"/>
      <c r="L19" s="119" t="s">
        <v>180</v>
      </c>
      <c r="M19" s="119"/>
      <c r="N19" s="119"/>
      <c r="O19" s="119"/>
      <c r="P19" s="119"/>
      <c r="Q19" s="119"/>
      <c r="R19" s="119"/>
      <c r="S19" s="119"/>
      <c r="T19" s="119"/>
      <c r="U19" s="119"/>
    </row>
    <row r="20" ht="21" customHeight="1" spans="2:21">
      <c r="B20" s="105">
        <v>44639</v>
      </c>
      <c r="C20" s="106" t="s">
        <v>161</v>
      </c>
      <c r="D20" s="106" t="s">
        <v>168</v>
      </c>
      <c r="E20" s="107">
        <v>18</v>
      </c>
      <c r="F20" s="108">
        <v>39.97</v>
      </c>
      <c r="G20" s="109">
        <f t="shared" si="0"/>
        <v>4</v>
      </c>
      <c r="H20" s="109">
        <f t="shared" si="1"/>
        <v>346</v>
      </c>
      <c r="I20" s="109">
        <f t="shared" si="2"/>
        <v>342</v>
      </c>
      <c r="J20" s="115"/>
      <c r="L20" s="120" t="s">
        <v>181</v>
      </c>
      <c r="M20" s="120" t="s">
        <v>182</v>
      </c>
      <c r="N20" s="120" t="s">
        <v>183</v>
      </c>
      <c r="O20" s="120" t="s">
        <v>184</v>
      </c>
      <c r="P20" s="120" t="s">
        <v>185</v>
      </c>
      <c r="Q20" s="120" t="s">
        <v>186</v>
      </c>
      <c r="R20" s="120" t="s">
        <v>187</v>
      </c>
      <c r="S20" s="120" t="s">
        <v>188</v>
      </c>
      <c r="T20" s="120" t="s">
        <v>189</v>
      </c>
      <c r="U20" s="120" t="s">
        <v>190</v>
      </c>
    </row>
    <row r="21" ht="17.25" customHeight="1" spans="2:21">
      <c r="B21" s="105">
        <v>44640</v>
      </c>
      <c r="C21" s="106" t="s">
        <v>161</v>
      </c>
      <c r="D21" s="106" t="s">
        <v>168</v>
      </c>
      <c r="E21" s="107">
        <v>19</v>
      </c>
      <c r="F21" s="108">
        <v>39.97</v>
      </c>
      <c r="G21" s="109">
        <f t="shared" si="0"/>
        <v>4</v>
      </c>
      <c r="H21" s="109">
        <f t="shared" si="1"/>
        <v>342</v>
      </c>
      <c r="I21" s="109">
        <f t="shared" si="2"/>
        <v>338</v>
      </c>
      <c r="J21" s="113"/>
      <c r="L21" s="4" t="s">
        <v>191</v>
      </c>
      <c r="M21" s="7">
        <v>400</v>
      </c>
      <c r="N21" s="4">
        <f>_xlfn.IFS(O21=$L$29,$M$29,O21=$L$30,$M$30,O21=$L$31,$M$31,O21=$L$32,$M$32,O21=$L$33,$M$33)</f>
        <v>40</v>
      </c>
      <c r="O21" s="7" t="s">
        <v>192</v>
      </c>
      <c r="P21" s="4">
        <f>$M$27</f>
        <v>30</v>
      </c>
      <c r="Q21" s="123">
        <v>44910</v>
      </c>
      <c r="R21" s="4">
        <f>M21*$M$28</f>
        <v>27600</v>
      </c>
      <c r="S21" s="124">
        <f>P21+Q21</f>
        <v>44940</v>
      </c>
      <c r="T21" s="124">
        <f>S21+M35</f>
        <v>44947</v>
      </c>
      <c r="U21" s="124">
        <f>T21+N21</f>
        <v>44987</v>
      </c>
    </row>
    <row r="22" ht="18" customHeight="1" spans="2:21">
      <c r="B22" s="105">
        <v>44641</v>
      </c>
      <c r="C22" s="106" t="s">
        <v>161</v>
      </c>
      <c r="D22" s="106" t="s">
        <v>168</v>
      </c>
      <c r="E22" s="107">
        <v>20</v>
      </c>
      <c r="F22" s="108">
        <v>39.97</v>
      </c>
      <c r="G22" s="109">
        <f t="shared" si="0"/>
        <v>4</v>
      </c>
      <c r="H22" s="109">
        <f t="shared" si="1"/>
        <v>338</v>
      </c>
      <c r="I22" s="109">
        <f t="shared" si="2"/>
        <v>334</v>
      </c>
      <c r="J22" s="115"/>
      <c r="L22" s="4" t="s">
        <v>193</v>
      </c>
      <c r="M22" s="121">
        <v>200</v>
      </c>
      <c r="N22" s="4">
        <f>_xlfn.IFS(O22=$L$29,$M$29,O22=$L$30,$M$30,O22=$L$31,$M$31,O22=$L$32,$M$32,O22=$L$33,$M$33)</f>
        <v>40</v>
      </c>
      <c r="O22" s="7" t="s">
        <v>192</v>
      </c>
      <c r="P22" s="4">
        <f>$M$27</f>
        <v>30</v>
      </c>
      <c r="Q22" s="125">
        <f>S22-P22</f>
        <v>44606</v>
      </c>
      <c r="R22" s="4">
        <f>M22*$M$28</f>
        <v>13800</v>
      </c>
      <c r="S22" s="124">
        <f>T22-M35</f>
        <v>44636</v>
      </c>
      <c r="T22" s="124">
        <f>U22-N22</f>
        <v>44643</v>
      </c>
      <c r="U22" s="126">
        <f>B64</f>
        <v>44683</v>
      </c>
    </row>
    <row r="23" ht="17.25" customHeight="1" spans="2:21">
      <c r="B23" s="105">
        <v>44642</v>
      </c>
      <c r="C23" s="106" t="s">
        <v>161</v>
      </c>
      <c r="D23" s="106" t="s">
        <v>168</v>
      </c>
      <c r="E23" s="107">
        <v>21</v>
      </c>
      <c r="F23" s="108">
        <v>39.97</v>
      </c>
      <c r="G23" s="109">
        <f t="shared" si="0"/>
        <v>4</v>
      </c>
      <c r="H23" s="109">
        <f t="shared" si="1"/>
        <v>334</v>
      </c>
      <c r="I23" s="109">
        <f t="shared" si="2"/>
        <v>330</v>
      </c>
      <c r="J23" s="113"/>
      <c r="L23" s="4" t="s">
        <v>194</v>
      </c>
      <c r="M23" s="7">
        <v>300</v>
      </c>
      <c r="N23" s="4">
        <f>_xlfn.IFS(O23=$L$29,$M$29,O23=$L$30,$M$30,O23=$L$31,$M$31,O23=$L$32,$M$32,O23=$L$33,$M$33)</f>
        <v>40</v>
      </c>
      <c r="O23" s="7" t="s">
        <v>192</v>
      </c>
      <c r="P23" s="4">
        <f>$M$27</f>
        <v>30</v>
      </c>
      <c r="Q23" s="125">
        <f>S23-P23</f>
        <v>44626</v>
      </c>
      <c r="R23" s="4">
        <f>M23*$M$28</f>
        <v>20700</v>
      </c>
      <c r="S23" s="124">
        <f>T23-M38</f>
        <v>44656</v>
      </c>
      <c r="T23" s="124">
        <f>U23-N23</f>
        <v>44656</v>
      </c>
      <c r="U23" s="126">
        <f>B77</f>
        <v>44696</v>
      </c>
    </row>
    <row r="24" ht="17.25" customHeight="1" spans="2:21">
      <c r="B24" s="105">
        <v>44643</v>
      </c>
      <c r="C24" s="106" t="s">
        <v>161</v>
      </c>
      <c r="D24" s="106" t="s">
        <v>169</v>
      </c>
      <c r="E24" s="107">
        <v>22</v>
      </c>
      <c r="F24" s="108">
        <v>39.97</v>
      </c>
      <c r="G24" s="109">
        <f t="shared" si="0"/>
        <v>5</v>
      </c>
      <c r="H24" s="109">
        <f t="shared" si="1"/>
        <v>330</v>
      </c>
      <c r="I24" s="109">
        <f t="shared" si="2"/>
        <v>325</v>
      </c>
      <c r="J24" s="115"/>
      <c r="L24" s="4" t="s">
        <v>195</v>
      </c>
      <c r="M24" s="7"/>
      <c r="N24" s="4">
        <f>_xlfn.IFS(O24=$L$29,$M$29,O24=$L$30,$M$30,O24=$L$31,$M$31,O24=$L$32,$M$32,O24=$L$33,$M$33)</f>
        <v>40</v>
      </c>
      <c r="O24" s="7" t="s">
        <v>192</v>
      </c>
      <c r="P24" s="4">
        <f>$M$27</f>
        <v>30</v>
      </c>
      <c r="Q24" s="125">
        <f>S24-P24</f>
        <v>-70</v>
      </c>
      <c r="R24" s="4">
        <f>M24*$M$28</f>
        <v>0</v>
      </c>
      <c r="S24" s="124">
        <f>T24-M39</f>
        <v>-40</v>
      </c>
      <c r="T24" s="124">
        <f>U24-N24</f>
        <v>-40</v>
      </c>
      <c r="U24" s="127"/>
    </row>
    <row r="25" customHeight="1" spans="2:20">
      <c r="B25" s="105">
        <v>44644</v>
      </c>
      <c r="C25" s="106" t="s">
        <v>161</v>
      </c>
      <c r="D25" s="106" t="s">
        <v>169</v>
      </c>
      <c r="E25" s="107">
        <v>23</v>
      </c>
      <c r="F25" s="108">
        <v>39.97</v>
      </c>
      <c r="G25" s="109">
        <f t="shared" si="0"/>
        <v>5</v>
      </c>
      <c r="H25" s="109">
        <f t="shared" si="1"/>
        <v>325</v>
      </c>
      <c r="I25" s="109">
        <f t="shared" si="2"/>
        <v>320</v>
      </c>
      <c r="J25" s="113"/>
      <c r="Q25" s="3"/>
      <c r="R25" s="3"/>
      <c r="S25" s="3"/>
      <c r="T25" s="3"/>
    </row>
    <row r="26" ht="21" customHeight="1" spans="2:20">
      <c r="B26" s="105">
        <v>44645</v>
      </c>
      <c r="C26" s="106" t="s">
        <v>161</v>
      </c>
      <c r="D26" s="106" t="s">
        <v>169</v>
      </c>
      <c r="E26" s="107">
        <v>24</v>
      </c>
      <c r="F26" s="108">
        <v>39.97</v>
      </c>
      <c r="G26" s="109">
        <f t="shared" si="0"/>
        <v>5</v>
      </c>
      <c r="H26" s="109">
        <f t="shared" si="1"/>
        <v>320</v>
      </c>
      <c r="I26" s="109">
        <f t="shared" si="2"/>
        <v>315</v>
      </c>
      <c r="J26" s="115"/>
      <c r="L26" s="119" t="s">
        <v>196</v>
      </c>
      <c r="M26" s="119"/>
      <c r="N26" s="119"/>
      <c r="O26" s="3"/>
      <c r="P26" s="3"/>
      <c r="Q26" s="3"/>
      <c r="R26" s="3"/>
      <c r="S26" s="3"/>
      <c r="T26" s="3"/>
    </row>
    <row r="27" ht="21" customHeight="1" spans="2:20">
      <c r="B27" s="105">
        <v>44646</v>
      </c>
      <c r="C27" s="106" t="s">
        <v>161</v>
      </c>
      <c r="D27" s="106" t="s">
        <v>169</v>
      </c>
      <c r="E27" s="107">
        <v>25</v>
      </c>
      <c r="F27" s="108">
        <v>39.97</v>
      </c>
      <c r="G27" s="109">
        <f t="shared" si="0"/>
        <v>5</v>
      </c>
      <c r="H27" s="109">
        <f t="shared" si="1"/>
        <v>315</v>
      </c>
      <c r="I27" s="109">
        <f t="shared" si="2"/>
        <v>310</v>
      </c>
      <c r="J27" s="113"/>
      <c r="L27" s="120" t="s">
        <v>197</v>
      </c>
      <c r="M27" s="7">
        <v>30</v>
      </c>
      <c r="N27" s="69" t="s">
        <v>198</v>
      </c>
      <c r="O27" s="3"/>
      <c r="P27" s="3"/>
      <c r="Q27" s="3"/>
      <c r="R27" s="3"/>
      <c r="S27" s="3"/>
      <c r="T27" s="3"/>
    </row>
    <row r="28" ht="21" customHeight="1" spans="2:20">
      <c r="B28" s="105">
        <v>44647</v>
      </c>
      <c r="C28" s="106" t="s">
        <v>161</v>
      </c>
      <c r="D28" s="106" t="s">
        <v>169</v>
      </c>
      <c r="E28" s="107">
        <v>26</v>
      </c>
      <c r="F28" s="108">
        <v>39.97</v>
      </c>
      <c r="G28" s="109">
        <f t="shared" si="0"/>
        <v>5</v>
      </c>
      <c r="H28" s="109">
        <f t="shared" si="1"/>
        <v>310</v>
      </c>
      <c r="I28" s="109">
        <f t="shared" si="2"/>
        <v>305</v>
      </c>
      <c r="J28" s="115"/>
      <c r="L28" s="120" t="s">
        <v>65</v>
      </c>
      <c r="M28" s="7">
        <v>69</v>
      </c>
      <c r="N28" s="69" t="s">
        <v>199</v>
      </c>
      <c r="O28" s="3"/>
      <c r="P28" s="3"/>
      <c r="Q28" s="3"/>
      <c r="R28" s="3"/>
      <c r="S28" s="3"/>
      <c r="T28" s="3"/>
    </row>
    <row r="29" ht="21" customHeight="1" spans="2:14">
      <c r="B29" s="105">
        <v>44648</v>
      </c>
      <c r="C29" s="106" t="s">
        <v>161</v>
      </c>
      <c r="D29" s="106" t="s">
        <v>169</v>
      </c>
      <c r="E29" s="107">
        <v>27</v>
      </c>
      <c r="F29" s="108">
        <v>39.97</v>
      </c>
      <c r="G29" s="109">
        <f t="shared" si="0"/>
        <v>5</v>
      </c>
      <c r="H29" s="109">
        <f t="shared" si="1"/>
        <v>305</v>
      </c>
      <c r="I29" s="109">
        <f t="shared" si="2"/>
        <v>300</v>
      </c>
      <c r="J29" s="113"/>
      <c r="L29" s="120" t="s">
        <v>200</v>
      </c>
      <c r="M29" s="7">
        <v>20</v>
      </c>
      <c r="N29" s="69" t="s">
        <v>198</v>
      </c>
    </row>
    <row r="30" ht="21" customHeight="1" spans="2:14">
      <c r="B30" s="105">
        <v>44649</v>
      </c>
      <c r="C30" s="106" t="s">
        <v>161</v>
      </c>
      <c r="D30" s="106" t="s">
        <v>169</v>
      </c>
      <c r="E30" s="107">
        <v>28</v>
      </c>
      <c r="F30" s="108">
        <v>39.97</v>
      </c>
      <c r="G30" s="109">
        <f t="shared" si="0"/>
        <v>5</v>
      </c>
      <c r="H30" s="109">
        <f t="shared" si="1"/>
        <v>300</v>
      </c>
      <c r="I30" s="109">
        <f t="shared" si="2"/>
        <v>295</v>
      </c>
      <c r="J30" s="115"/>
      <c r="L30" s="120" t="s">
        <v>201</v>
      </c>
      <c r="M30" s="7">
        <v>30</v>
      </c>
      <c r="N30" s="69" t="s">
        <v>198</v>
      </c>
    </row>
    <row r="31" ht="21" customHeight="1" spans="2:14">
      <c r="B31" s="105">
        <v>44650</v>
      </c>
      <c r="C31" s="106" t="s">
        <v>161</v>
      </c>
      <c r="D31" s="106" t="s">
        <v>170</v>
      </c>
      <c r="E31" s="107">
        <v>29</v>
      </c>
      <c r="F31" s="108">
        <v>39.97</v>
      </c>
      <c r="G31" s="109">
        <f t="shared" si="0"/>
        <v>5</v>
      </c>
      <c r="H31" s="109">
        <f t="shared" si="1"/>
        <v>295</v>
      </c>
      <c r="I31" s="109">
        <f t="shared" si="2"/>
        <v>290</v>
      </c>
      <c r="J31" s="113"/>
      <c r="L31" s="120" t="s">
        <v>192</v>
      </c>
      <c r="M31" s="7">
        <v>40</v>
      </c>
      <c r="N31" s="69" t="s">
        <v>198</v>
      </c>
    </row>
    <row r="32" ht="21" customHeight="1" spans="2:16">
      <c r="B32" s="105">
        <v>44651</v>
      </c>
      <c r="C32" s="106" t="s">
        <v>161</v>
      </c>
      <c r="D32" s="106" t="s">
        <v>170</v>
      </c>
      <c r="E32" s="107">
        <v>30</v>
      </c>
      <c r="F32" s="108">
        <v>39.97</v>
      </c>
      <c r="G32" s="109">
        <f t="shared" si="0"/>
        <v>5</v>
      </c>
      <c r="H32" s="109">
        <f t="shared" si="1"/>
        <v>290</v>
      </c>
      <c r="I32" s="109">
        <f t="shared" si="2"/>
        <v>285</v>
      </c>
      <c r="J32" s="115"/>
      <c r="L32" s="120" t="s">
        <v>202</v>
      </c>
      <c r="M32" s="7">
        <v>20</v>
      </c>
      <c r="N32" s="69" t="s">
        <v>198</v>
      </c>
      <c r="P32" s="34" t="s">
        <v>151</v>
      </c>
    </row>
    <row r="33" ht="21" customHeight="1" spans="2:14">
      <c r="B33" s="105">
        <v>44652</v>
      </c>
      <c r="C33" s="106" t="s">
        <v>203</v>
      </c>
      <c r="D33" s="106" t="s">
        <v>170</v>
      </c>
      <c r="E33" s="107">
        <v>31</v>
      </c>
      <c r="F33" s="108">
        <v>39.97</v>
      </c>
      <c r="G33" s="109">
        <f t="shared" si="0"/>
        <v>5</v>
      </c>
      <c r="H33" s="109">
        <f t="shared" si="1"/>
        <v>285</v>
      </c>
      <c r="I33" s="109">
        <f t="shared" si="2"/>
        <v>280</v>
      </c>
      <c r="J33" s="113"/>
      <c r="L33" s="120" t="s">
        <v>204</v>
      </c>
      <c r="M33" s="7">
        <v>40</v>
      </c>
      <c r="N33" s="69" t="s">
        <v>198</v>
      </c>
    </row>
    <row r="34" ht="21" customHeight="1" spans="2:14">
      <c r="B34" s="105">
        <v>44653</v>
      </c>
      <c r="C34" s="106" t="s">
        <v>203</v>
      </c>
      <c r="D34" s="106" t="s">
        <v>170</v>
      </c>
      <c r="E34" s="107">
        <v>32</v>
      </c>
      <c r="F34" s="108">
        <v>39.97</v>
      </c>
      <c r="G34" s="109">
        <f t="shared" si="0"/>
        <v>5</v>
      </c>
      <c r="H34" s="109">
        <f t="shared" si="1"/>
        <v>280</v>
      </c>
      <c r="I34" s="109">
        <f t="shared" si="2"/>
        <v>275</v>
      </c>
      <c r="J34" s="115"/>
      <c r="L34" s="120" t="s">
        <v>205</v>
      </c>
      <c r="M34" s="7">
        <v>60</v>
      </c>
      <c r="N34" s="69" t="s">
        <v>198</v>
      </c>
    </row>
    <row r="35" ht="21" customHeight="1" spans="2:14">
      <c r="B35" s="105">
        <v>44654</v>
      </c>
      <c r="C35" s="106" t="s">
        <v>203</v>
      </c>
      <c r="D35" s="106" t="s">
        <v>170</v>
      </c>
      <c r="E35" s="107">
        <v>33</v>
      </c>
      <c r="F35" s="108">
        <v>39.97</v>
      </c>
      <c r="G35" s="109">
        <f t="shared" ref="G35:G66" si="4">VLOOKUP(D35,L:N,3,0)</f>
        <v>5</v>
      </c>
      <c r="H35" s="109">
        <f t="shared" si="1"/>
        <v>275</v>
      </c>
      <c r="I35" s="109">
        <f t="shared" si="2"/>
        <v>270</v>
      </c>
      <c r="J35" s="113"/>
      <c r="L35" s="120" t="s">
        <v>206</v>
      </c>
      <c r="M35" s="7">
        <v>7</v>
      </c>
      <c r="N35" s="69" t="s">
        <v>198</v>
      </c>
    </row>
    <row r="36" customHeight="1" spans="2:10">
      <c r="B36" s="105">
        <v>44655</v>
      </c>
      <c r="C36" s="106" t="s">
        <v>203</v>
      </c>
      <c r="D36" s="106" t="s">
        <v>170</v>
      </c>
      <c r="E36" s="107">
        <v>34</v>
      </c>
      <c r="F36" s="108">
        <v>39.97</v>
      </c>
      <c r="G36" s="109">
        <f t="shared" si="4"/>
        <v>5</v>
      </c>
      <c r="H36" s="109">
        <f t="shared" si="1"/>
        <v>270</v>
      </c>
      <c r="I36" s="109">
        <f t="shared" si="2"/>
        <v>265</v>
      </c>
      <c r="J36" s="115"/>
    </row>
    <row r="37" customHeight="1" spans="2:10">
      <c r="B37" s="105">
        <v>44656</v>
      </c>
      <c r="C37" s="106" t="s">
        <v>203</v>
      </c>
      <c r="D37" s="106" t="s">
        <v>170</v>
      </c>
      <c r="E37" s="107">
        <v>35</v>
      </c>
      <c r="F37" s="108">
        <v>39.97</v>
      </c>
      <c r="G37" s="109">
        <f t="shared" si="4"/>
        <v>5</v>
      </c>
      <c r="H37" s="109">
        <f t="shared" si="1"/>
        <v>265</v>
      </c>
      <c r="I37" s="109">
        <f t="shared" si="2"/>
        <v>260</v>
      </c>
      <c r="J37" s="113"/>
    </row>
    <row r="38" customHeight="1" spans="2:10">
      <c r="B38" s="105">
        <v>44657</v>
      </c>
      <c r="C38" s="106" t="s">
        <v>203</v>
      </c>
      <c r="D38" s="106" t="s">
        <v>171</v>
      </c>
      <c r="E38" s="107">
        <v>36</v>
      </c>
      <c r="F38" s="108">
        <v>39.97</v>
      </c>
      <c r="G38" s="109">
        <f t="shared" si="4"/>
        <v>7</v>
      </c>
      <c r="H38" s="109">
        <f t="shared" si="1"/>
        <v>260</v>
      </c>
      <c r="I38" s="109">
        <f t="shared" si="2"/>
        <v>253</v>
      </c>
      <c r="J38" s="115"/>
    </row>
    <row r="39" customHeight="1" spans="2:10">
      <c r="B39" s="105">
        <v>44658</v>
      </c>
      <c r="C39" s="106" t="s">
        <v>203</v>
      </c>
      <c r="D39" s="106" t="s">
        <v>171</v>
      </c>
      <c r="E39" s="107">
        <v>37</v>
      </c>
      <c r="F39" s="108">
        <v>39.97</v>
      </c>
      <c r="G39" s="109">
        <f t="shared" si="4"/>
        <v>7</v>
      </c>
      <c r="H39" s="109">
        <f t="shared" si="1"/>
        <v>253</v>
      </c>
      <c r="I39" s="109">
        <f t="shared" si="2"/>
        <v>246</v>
      </c>
      <c r="J39" s="113"/>
    </row>
    <row r="40" customHeight="1" spans="2:10">
      <c r="B40" s="105">
        <v>44659</v>
      </c>
      <c r="C40" s="106" t="s">
        <v>203</v>
      </c>
      <c r="D40" s="106" t="s">
        <v>171</v>
      </c>
      <c r="E40" s="107">
        <v>38</v>
      </c>
      <c r="F40" s="108">
        <v>39.97</v>
      </c>
      <c r="G40" s="109">
        <f t="shared" si="4"/>
        <v>7</v>
      </c>
      <c r="H40" s="109">
        <f t="shared" si="1"/>
        <v>246</v>
      </c>
      <c r="I40" s="109">
        <f t="shared" si="2"/>
        <v>239</v>
      </c>
      <c r="J40" s="115"/>
    </row>
    <row r="41" customHeight="1" spans="2:10">
      <c r="B41" s="105">
        <v>44660</v>
      </c>
      <c r="C41" s="106" t="s">
        <v>203</v>
      </c>
      <c r="D41" s="106" t="s">
        <v>171</v>
      </c>
      <c r="E41" s="107">
        <v>39</v>
      </c>
      <c r="F41" s="108">
        <v>39.97</v>
      </c>
      <c r="G41" s="109">
        <f t="shared" si="4"/>
        <v>7</v>
      </c>
      <c r="H41" s="109">
        <f t="shared" si="1"/>
        <v>239</v>
      </c>
      <c r="I41" s="109">
        <f t="shared" si="2"/>
        <v>232</v>
      </c>
      <c r="J41" s="113"/>
    </row>
    <row r="42" customHeight="1" spans="2:10">
      <c r="B42" s="105">
        <v>44661</v>
      </c>
      <c r="C42" s="106" t="s">
        <v>203</v>
      </c>
      <c r="D42" s="106" t="s">
        <v>171</v>
      </c>
      <c r="E42" s="107">
        <v>40</v>
      </c>
      <c r="F42" s="108">
        <v>39.97</v>
      </c>
      <c r="G42" s="109">
        <f t="shared" si="4"/>
        <v>7</v>
      </c>
      <c r="H42" s="109">
        <f t="shared" si="1"/>
        <v>232</v>
      </c>
      <c r="I42" s="109">
        <f t="shared" si="2"/>
        <v>225</v>
      </c>
      <c r="J42" s="115"/>
    </row>
    <row r="43" customHeight="1" spans="2:10">
      <c r="B43" s="105">
        <v>44662</v>
      </c>
      <c r="C43" s="106" t="s">
        <v>203</v>
      </c>
      <c r="D43" s="106" t="s">
        <v>171</v>
      </c>
      <c r="E43" s="107">
        <v>41</v>
      </c>
      <c r="F43" s="108">
        <v>39.97</v>
      </c>
      <c r="G43" s="109">
        <f t="shared" si="4"/>
        <v>7</v>
      </c>
      <c r="H43" s="109">
        <f t="shared" si="1"/>
        <v>225</v>
      </c>
      <c r="I43" s="109">
        <f t="shared" si="2"/>
        <v>218</v>
      </c>
      <c r="J43" s="113"/>
    </row>
    <row r="44" customHeight="1" spans="2:10">
      <c r="B44" s="105">
        <v>44663</v>
      </c>
      <c r="C44" s="106" t="s">
        <v>203</v>
      </c>
      <c r="D44" s="106" t="s">
        <v>171</v>
      </c>
      <c r="E44" s="107">
        <v>42</v>
      </c>
      <c r="F44" s="108">
        <v>39.97</v>
      </c>
      <c r="G44" s="109">
        <f t="shared" si="4"/>
        <v>7</v>
      </c>
      <c r="H44" s="109">
        <f t="shared" si="1"/>
        <v>218</v>
      </c>
      <c r="I44" s="109">
        <f t="shared" si="2"/>
        <v>211</v>
      </c>
      <c r="J44" s="115"/>
    </row>
    <row r="45" customHeight="1" spans="2:10">
      <c r="B45" s="105">
        <v>44664</v>
      </c>
      <c r="C45" s="106" t="s">
        <v>203</v>
      </c>
      <c r="D45" s="106" t="s">
        <v>172</v>
      </c>
      <c r="E45" s="107">
        <v>43</v>
      </c>
      <c r="F45" s="108">
        <v>39.97</v>
      </c>
      <c r="G45" s="109">
        <f t="shared" si="4"/>
        <v>9</v>
      </c>
      <c r="H45" s="109">
        <f t="shared" si="1"/>
        <v>211</v>
      </c>
      <c r="I45" s="109">
        <f t="shared" si="2"/>
        <v>202</v>
      </c>
      <c r="J45" s="113"/>
    </row>
    <row r="46" customHeight="1" spans="2:10">
      <c r="B46" s="105">
        <v>44665</v>
      </c>
      <c r="C46" s="106" t="s">
        <v>203</v>
      </c>
      <c r="D46" s="106" t="s">
        <v>172</v>
      </c>
      <c r="E46" s="107">
        <v>44</v>
      </c>
      <c r="F46" s="108">
        <v>39.97</v>
      </c>
      <c r="G46" s="109">
        <f t="shared" si="4"/>
        <v>9</v>
      </c>
      <c r="H46" s="109">
        <f t="shared" si="1"/>
        <v>202</v>
      </c>
      <c r="I46" s="109">
        <f t="shared" si="2"/>
        <v>193</v>
      </c>
      <c r="J46" s="115"/>
    </row>
    <row r="47" customHeight="1" spans="2:10">
      <c r="B47" s="105">
        <v>44666</v>
      </c>
      <c r="C47" s="106" t="s">
        <v>203</v>
      </c>
      <c r="D47" s="106" t="s">
        <v>172</v>
      </c>
      <c r="E47" s="107">
        <v>45</v>
      </c>
      <c r="F47" s="108">
        <v>39.97</v>
      </c>
      <c r="G47" s="109">
        <f t="shared" si="4"/>
        <v>9</v>
      </c>
      <c r="H47" s="109">
        <f t="shared" si="1"/>
        <v>193</v>
      </c>
      <c r="I47" s="109">
        <f t="shared" si="2"/>
        <v>184</v>
      </c>
      <c r="J47" s="113"/>
    </row>
    <row r="48" customHeight="1" spans="2:10">
      <c r="B48" s="105">
        <v>44667</v>
      </c>
      <c r="C48" s="106" t="s">
        <v>203</v>
      </c>
      <c r="D48" s="106" t="s">
        <v>172</v>
      </c>
      <c r="E48" s="107">
        <v>46</v>
      </c>
      <c r="F48" s="108">
        <v>39.97</v>
      </c>
      <c r="G48" s="109">
        <f t="shared" si="4"/>
        <v>9</v>
      </c>
      <c r="H48" s="109">
        <f t="shared" si="1"/>
        <v>184</v>
      </c>
      <c r="I48" s="109">
        <f t="shared" si="2"/>
        <v>175</v>
      </c>
      <c r="J48" s="115"/>
    </row>
    <row r="49" customHeight="1" spans="2:10">
      <c r="B49" s="105">
        <v>44668</v>
      </c>
      <c r="C49" s="106" t="s">
        <v>203</v>
      </c>
      <c r="D49" s="106" t="s">
        <v>172</v>
      </c>
      <c r="E49" s="107">
        <v>47</v>
      </c>
      <c r="F49" s="108">
        <v>39.97</v>
      </c>
      <c r="G49" s="109">
        <f t="shared" si="4"/>
        <v>9</v>
      </c>
      <c r="H49" s="109">
        <f t="shared" si="1"/>
        <v>175</v>
      </c>
      <c r="I49" s="109">
        <f t="shared" si="2"/>
        <v>166</v>
      </c>
      <c r="J49" s="113"/>
    </row>
    <row r="50" customHeight="1" spans="2:10">
      <c r="B50" s="105">
        <v>44669</v>
      </c>
      <c r="C50" s="106" t="s">
        <v>203</v>
      </c>
      <c r="D50" s="106" t="s">
        <v>172</v>
      </c>
      <c r="E50" s="107">
        <v>48</v>
      </c>
      <c r="F50" s="108">
        <v>39.97</v>
      </c>
      <c r="G50" s="109">
        <f t="shared" si="4"/>
        <v>9</v>
      </c>
      <c r="H50" s="109">
        <f t="shared" si="1"/>
        <v>166</v>
      </c>
      <c r="I50" s="109">
        <f t="shared" si="2"/>
        <v>157</v>
      </c>
      <c r="J50" s="115"/>
    </row>
    <row r="51" customHeight="1" spans="2:10">
      <c r="B51" s="105">
        <v>44670</v>
      </c>
      <c r="C51" s="106" t="s">
        <v>203</v>
      </c>
      <c r="D51" s="106" t="s">
        <v>172</v>
      </c>
      <c r="E51" s="107">
        <v>49</v>
      </c>
      <c r="F51" s="108">
        <v>39.97</v>
      </c>
      <c r="G51" s="109">
        <f t="shared" si="4"/>
        <v>9</v>
      </c>
      <c r="H51" s="109">
        <f t="shared" si="1"/>
        <v>157</v>
      </c>
      <c r="I51" s="109">
        <f t="shared" si="2"/>
        <v>148</v>
      </c>
      <c r="J51" s="113"/>
    </row>
    <row r="52" customHeight="1" spans="2:10">
      <c r="B52" s="105">
        <v>44671</v>
      </c>
      <c r="C52" s="106" t="s">
        <v>203</v>
      </c>
      <c r="D52" s="106" t="s">
        <v>173</v>
      </c>
      <c r="E52" s="107">
        <v>50</v>
      </c>
      <c r="F52" s="108">
        <v>39.97</v>
      </c>
      <c r="G52" s="109">
        <f t="shared" si="4"/>
        <v>11</v>
      </c>
      <c r="H52" s="109">
        <f t="shared" si="1"/>
        <v>148</v>
      </c>
      <c r="I52" s="109">
        <f t="shared" si="2"/>
        <v>137</v>
      </c>
      <c r="J52" s="113"/>
    </row>
    <row r="53" customHeight="1" spans="2:10">
      <c r="B53" s="105">
        <v>44672</v>
      </c>
      <c r="C53" s="106" t="s">
        <v>203</v>
      </c>
      <c r="D53" s="106" t="s">
        <v>173</v>
      </c>
      <c r="E53" s="107">
        <v>51</v>
      </c>
      <c r="F53" s="108">
        <v>39.97</v>
      </c>
      <c r="G53" s="109">
        <f t="shared" si="4"/>
        <v>11</v>
      </c>
      <c r="H53" s="109">
        <f t="shared" si="1"/>
        <v>137</v>
      </c>
      <c r="I53" s="109">
        <f t="shared" si="2"/>
        <v>126</v>
      </c>
      <c r="J53" s="113"/>
    </row>
    <row r="54" customHeight="1" spans="2:10">
      <c r="B54" s="105">
        <v>44673</v>
      </c>
      <c r="C54" s="106" t="s">
        <v>203</v>
      </c>
      <c r="D54" s="106" t="s">
        <v>173</v>
      </c>
      <c r="E54" s="107">
        <v>52</v>
      </c>
      <c r="F54" s="108">
        <v>39.97</v>
      </c>
      <c r="G54" s="109">
        <f t="shared" si="4"/>
        <v>11</v>
      </c>
      <c r="H54" s="109">
        <f t="shared" si="1"/>
        <v>126</v>
      </c>
      <c r="I54" s="109">
        <f t="shared" si="2"/>
        <v>115</v>
      </c>
      <c r="J54" s="115"/>
    </row>
    <row r="55" customHeight="1" spans="2:10">
      <c r="B55" s="105">
        <v>44674</v>
      </c>
      <c r="C55" s="106" t="s">
        <v>203</v>
      </c>
      <c r="D55" s="106" t="s">
        <v>173</v>
      </c>
      <c r="E55" s="107">
        <v>53</v>
      </c>
      <c r="F55" s="108">
        <v>39.97</v>
      </c>
      <c r="G55" s="109">
        <f t="shared" si="4"/>
        <v>11</v>
      </c>
      <c r="H55" s="109">
        <f t="shared" si="1"/>
        <v>115</v>
      </c>
      <c r="I55" s="109">
        <f t="shared" si="2"/>
        <v>104</v>
      </c>
      <c r="J55" s="113"/>
    </row>
    <row r="56" customHeight="1" spans="2:10">
      <c r="B56" s="105">
        <v>44675</v>
      </c>
      <c r="C56" s="106" t="s">
        <v>203</v>
      </c>
      <c r="D56" s="106" t="s">
        <v>173</v>
      </c>
      <c r="E56" s="107">
        <v>54</v>
      </c>
      <c r="F56" s="108">
        <v>39.97</v>
      </c>
      <c r="G56" s="109">
        <f t="shared" si="4"/>
        <v>11</v>
      </c>
      <c r="H56" s="109">
        <f t="shared" si="1"/>
        <v>104</v>
      </c>
      <c r="I56" s="122">
        <f t="shared" si="2"/>
        <v>93</v>
      </c>
      <c r="J56" s="115"/>
    </row>
    <row r="57" customHeight="1" spans="2:10">
      <c r="B57" s="105">
        <v>44676</v>
      </c>
      <c r="C57" s="106" t="s">
        <v>203</v>
      </c>
      <c r="D57" s="106" t="s">
        <v>173</v>
      </c>
      <c r="E57" s="107">
        <v>55</v>
      </c>
      <c r="F57" s="108">
        <v>39.97</v>
      </c>
      <c r="G57" s="109">
        <f t="shared" si="4"/>
        <v>11</v>
      </c>
      <c r="H57" s="109">
        <f t="shared" si="1"/>
        <v>93</v>
      </c>
      <c r="I57" s="109">
        <f t="shared" si="2"/>
        <v>82</v>
      </c>
      <c r="J57" s="113"/>
    </row>
    <row r="58" customHeight="1" spans="2:10">
      <c r="B58" s="105">
        <v>44677</v>
      </c>
      <c r="C58" s="106" t="s">
        <v>203</v>
      </c>
      <c r="D58" s="106" t="s">
        <v>173</v>
      </c>
      <c r="E58" s="107">
        <v>56</v>
      </c>
      <c r="F58" s="108">
        <v>39.97</v>
      </c>
      <c r="G58" s="109">
        <f t="shared" si="4"/>
        <v>11</v>
      </c>
      <c r="H58" s="109">
        <f t="shared" si="1"/>
        <v>82</v>
      </c>
      <c r="I58" s="109">
        <f t="shared" si="2"/>
        <v>71</v>
      </c>
      <c r="J58" s="115"/>
    </row>
    <row r="59" customHeight="1" spans="2:10">
      <c r="B59" s="105">
        <v>44678</v>
      </c>
      <c r="C59" s="106" t="s">
        <v>203</v>
      </c>
      <c r="D59" s="106" t="s">
        <v>174</v>
      </c>
      <c r="E59" s="107">
        <v>57</v>
      </c>
      <c r="F59" s="108">
        <v>39.97</v>
      </c>
      <c r="G59" s="109">
        <f t="shared" si="4"/>
        <v>13</v>
      </c>
      <c r="H59" s="109">
        <f t="shared" si="1"/>
        <v>71</v>
      </c>
      <c r="I59" s="109">
        <f t="shared" si="2"/>
        <v>58</v>
      </c>
      <c r="J59" s="113"/>
    </row>
    <row r="60" customHeight="1" spans="2:10">
      <c r="B60" s="105">
        <v>44679</v>
      </c>
      <c r="C60" s="106" t="s">
        <v>203</v>
      </c>
      <c r="D60" s="106" t="s">
        <v>174</v>
      </c>
      <c r="E60" s="107">
        <v>58</v>
      </c>
      <c r="F60" s="108">
        <v>39.97</v>
      </c>
      <c r="G60" s="109">
        <f t="shared" si="4"/>
        <v>13</v>
      </c>
      <c r="H60" s="109">
        <f t="shared" si="1"/>
        <v>58</v>
      </c>
      <c r="I60" s="109">
        <f t="shared" si="2"/>
        <v>45</v>
      </c>
      <c r="J60" s="115"/>
    </row>
    <row r="61" customHeight="1" spans="2:10">
      <c r="B61" s="105">
        <v>44680</v>
      </c>
      <c r="C61" s="106" t="s">
        <v>203</v>
      </c>
      <c r="D61" s="106" t="s">
        <v>174</v>
      </c>
      <c r="E61" s="107">
        <v>59</v>
      </c>
      <c r="F61" s="108">
        <v>39.97</v>
      </c>
      <c r="G61" s="109">
        <f t="shared" si="4"/>
        <v>13</v>
      </c>
      <c r="H61" s="109">
        <f t="shared" si="1"/>
        <v>45</v>
      </c>
      <c r="I61" s="109">
        <f t="shared" si="2"/>
        <v>32</v>
      </c>
      <c r="J61" s="113"/>
    </row>
    <row r="62" customHeight="1" spans="2:10">
      <c r="B62" s="105">
        <v>44681</v>
      </c>
      <c r="C62" s="106" t="s">
        <v>203</v>
      </c>
      <c r="D62" s="106" t="s">
        <v>174</v>
      </c>
      <c r="E62" s="107">
        <v>60</v>
      </c>
      <c r="F62" s="108">
        <v>39.97</v>
      </c>
      <c r="G62" s="109">
        <f t="shared" si="4"/>
        <v>13</v>
      </c>
      <c r="H62" s="109">
        <f t="shared" si="1"/>
        <v>32</v>
      </c>
      <c r="I62" s="109">
        <f t="shared" si="2"/>
        <v>19</v>
      </c>
      <c r="J62" s="115"/>
    </row>
    <row r="63" customHeight="1" spans="2:10">
      <c r="B63" s="105">
        <v>44682</v>
      </c>
      <c r="C63" s="106" t="s">
        <v>207</v>
      </c>
      <c r="D63" s="106" t="s">
        <v>174</v>
      </c>
      <c r="E63" s="107">
        <v>61</v>
      </c>
      <c r="F63" s="108">
        <v>39.97</v>
      </c>
      <c r="G63" s="109">
        <f t="shared" si="4"/>
        <v>13</v>
      </c>
      <c r="H63" s="109">
        <f t="shared" si="1"/>
        <v>19</v>
      </c>
      <c r="I63" s="109">
        <f t="shared" si="2"/>
        <v>6</v>
      </c>
      <c r="J63" s="115"/>
    </row>
    <row r="64" customHeight="1" spans="2:10">
      <c r="B64" s="105">
        <v>44683</v>
      </c>
      <c r="C64" s="106" t="s">
        <v>207</v>
      </c>
      <c r="D64" s="106" t="s">
        <v>174</v>
      </c>
      <c r="E64" s="107">
        <v>62</v>
      </c>
      <c r="F64" s="108">
        <v>39.97</v>
      </c>
      <c r="G64" s="109">
        <f t="shared" si="4"/>
        <v>13</v>
      </c>
      <c r="H64" s="109">
        <f t="shared" si="1"/>
        <v>6</v>
      </c>
      <c r="I64" s="109">
        <f t="shared" si="2"/>
        <v>193</v>
      </c>
      <c r="J64" s="115">
        <v>200</v>
      </c>
    </row>
    <row r="65" customHeight="1" spans="2:10">
      <c r="B65" s="105">
        <v>44684</v>
      </c>
      <c r="C65" s="106" t="s">
        <v>207</v>
      </c>
      <c r="D65" s="106" t="s">
        <v>174</v>
      </c>
      <c r="E65" s="107">
        <v>63</v>
      </c>
      <c r="F65" s="108">
        <v>39.97</v>
      </c>
      <c r="G65" s="109">
        <f t="shared" si="4"/>
        <v>13</v>
      </c>
      <c r="H65" s="109">
        <f t="shared" si="1"/>
        <v>193</v>
      </c>
      <c r="I65" s="109">
        <f t="shared" si="2"/>
        <v>180</v>
      </c>
      <c r="J65" s="113"/>
    </row>
    <row r="66" customHeight="1" spans="2:10">
      <c r="B66" s="105">
        <v>44685</v>
      </c>
      <c r="C66" s="106" t="s">
        <v>207</v>
      </c>
      <c r="D66" s="106" t="s">
        <v>175</v>
      </c>
      <c r="E66" s="107">
        <v>64</v>
      </c>
      <c r="F66" s="108">
        <v>39.97</v>
      </c>
      <c r="G66" s="109">
        <f t="shared" si="4"/>
        <v>15</v>
      </c>
      <c r="H66" s="109">
        <f t="shared" si="1"/>
        <v>180</v>
      </c>
      <c r="I66" s="109">
        <f t="shared" si="2"/>
        <v>165</v>
      </c>
      <c r="J66" s="115"/>
    </row>
    <row r="67" customHeight="1" spans="2:10">
      <c r="B67" s="105">
        <v>44686</v>
      </c>
      <c r="C67" s="106" t="s">
        <v>207</v>
      </c>
      <c r="D67" s="106" t="s">
        <v>175</v>
      </c>
      <c r="E67" s="107">
        <v>65</v>
      </c>
      <c r="F67" s="108">
        <v>39.97</v>
      </c>
      <c r="G67" s="109">
        <f t="shared" ref="G67:G92" si="5">VLOOKUP(D67,L:N,3,0)</f>
        <v>15</v>
      </c>
      <c r="H67" s="109">
        <f t="shared" si="1"/>
        <v>165</v>
      </c>
      <c r="I67" s="109">
        <f t="shared" si="2"/>
        <v>150</v>
      </c>
      <c r="J67" s="113"/>
    </row>
    <row r="68" customHeight="1" spans="2:10">
      <c r="B68" s="105">
        <v>44687</v>
      </c>
      <c r="C68" s="106" t="s">
        <v>207</v>
      </c>
      <c r="D68" s="106" t="s">
        <v>175</v>
      </c>
      <c r="E68" s="107">
        <v>66</v>
      </c>
      <c r="F68" s="108">
        <v>39.97</v>
      </c>
      <c r="G68" s="109">
        <f t="shared" si="5"/>
        <v>15</v>
      </c>
      <c r="H68" s="109">
        <f t="shared" ref="H68:H92" si="6">IF(I67&lt;0,0,I67)</f>
        <v>150</v>
      </c>
      <c r="I68" s="109">
        <f t="shared" ref="I68:I92" si="7">IF(H68-G68+J68&lt;0,0,H68-G68+J68)</f>
        <v>135</v>
      </c>
      <c r="J68" s="115"/>
    </row>
    <row r="69" customHeight="1" spans="2:10">
      <c r="B69" s="105">
        <v>44688</v>
      </c>
      <c r="C69" s="106" t="s">
        <v>207</v>
      </c>
      <c r="D69" s="106" t="s">
        <v>175</v>
      </c>
      <c r="E69" s="107">
        <v>67</v>
      </c>
      <c r="F69" s="108">
        <v>39.97</v>
      </c>
      <c r="G69" s="109">
        <f t="shared" si="5"/>
        <v>15</v>
      </c>
      <c r="H69" s="109">
        <f t="shared" si="6"/>
        <v>135</v>
      </c>
      <c r="I69" s="109">
        <f t="shared" si="7"/>
        <v>120</v>
      </c>
      <c r="J69" s="113"/>
    </row>
    <row r="70" customHeight="1" spans="2:10">
      <c r="B70" s="105">
        <v>44689</v>
      </c>
      <c r="C70" s="106" t="s">
        <v>207</v>
      </c>
      <c r="D70" s="106" t="s">
        <v>175</v>
      </c>
      <c r="E70" s="107">
        <v>68</v>
      </c>
      <c r="F70" s="108">
        <v>39.97</v>
      </c>
      <c r="G70" s="109">
        <f t="shared" si="5"/>
        <v>15</v>
      </c>
      <c r="H70" s="109">
        <f t="shared" si="6"/>
        <v>120</v>
      </c>
      <c r="I70" s="109">
        <f t="shared" si="7"/>
        <v>105</v>
      </c>
      <c r="J70" s="115"/>
    </row>
    <row r="71" customHeight="1" spans="2:10">
      <c r="B71" s="105">
        <v>44690</v>
      </c>
      <c r="C71" s="106" t="s">
        <v>207</v>
      </c>
      <c r="D71" s="106" t="s">
        <v>175</v>
      </c>
      <c r="E71" s="107">
        <v>69</v>
      </c>
      <c r="F71" s="108">
        <v>39.97</v>
      </c>
      <c r="G71" s="109">
        <f t="shared" si="5"/>
        <v>15</v>
      </c>
      <c r="H71" s="109">
        <f t="shared" si="6"/>
        <v>105</v>
      </c>
      <c r="I71" s="109">
        <f t="shared" si="7"/>
        <v>90</v>
      </c>
      <c r="J71" s="113"/>
    </row>
    <row r="72" customHeight="1" spans="2:10">
      <c r="B72" s="105">
        <v>44691</v>
      </c>
      <c r="C72" s="106" t="s">
        <v>207</v>
      </c>
      <c r="D72" s="106" t="s">
        <v>175</v>
      </c>
      <c r="E72" s="107">
        <v>70</v>
      </c>
      <c r="F72" s="108">
        <v>39.97</v>
      </c>
      <c r="G72" s="109">
        <f t="shared" si="5"/>
        <v>15</v>
      </c>
      <c r="H72" s="109">
        <f t="shared" si="6"/>
        <v>90</v>
      </c>
      <c r="I72" s="109">
        <f t="shared" si="7"/>
        <v>75</v>
      </c>
      <c r="J72" s="115"/>
    </row>
    <row r="73" customHeight="1" spans="2:10">
      <c r="B73" s="105">
        <v>44692</v>
      </c>
      <c r="C73" s="106" t="s">
        <v>207</v>
      </c>
      <c r="D73" s="106" t="s">
        <v>176</v>
      </c>
      <c r="E73" s="107">
        <v>71</v>
      </c>
      <c r="F73" s="108">
        <v>39.97</v>
      </c>
      <c r="G73" s="109">
        <f t="shared" si="5"/>
        <v>16</v>
      </c>
      <c r="H73" s="109">
        <f t="shared" si="6"/>
        <v>75</v>
      </c>
      <c r="I73" s="109">
        <f t="shared" si="7"/>
        <v>59</v>
      </c>
      <c r="J73" s="113"/>
    </row>
    <row r="74" customHeight="1" spans="2:10">
      <c r="B74" s="105">
        <v>44693</v>
      </c>
      <c r="C74" s="106" t="s">
        <v>207</v>
      </c>
      <c r="D74" s="106" t="s">
        <v>176</v>
      </c>
      <c r="E74" s="107">
        <v>72</v>
      </c>
      <c r="F74" s="108">
        <v>39.97</v>
      </c>
      <c r="G74" s="109">
        <f t="shared" si="5"/>
        <v>16</v>
      </c>
      <c r="H74" s="109">
        <f t="shared" si="6"/>
        <v>59</v>
      </c>
      <c r="I74" s="109">
        <f t="shared" si="7"/>
        <v>43</v>
      </c>
      <c r="J74" s="115"/>
    </row>
    <row r="75" customHeight="1" spans="2:10">
      <c r="B75" s="105">
        <v>44694</v>
      </c>
      <c r="C75" s="106" t="s">
        <v>207</v>
      </c>
      <c r="D75" s="106" t="s">
        <v>176</v>
      </c>
      <c r="E75" s="107">
        <v>73</v>
      </c>
      <c r="F75" s="108">
        <v>39.97</v>
      </c>
      <c r="G75" s="109">
        <f t="shared" si="5"/>
        <v>16</v>
      </c>
      <c r="H75" s="109">
        <f t="shared" si="6"/>
        <v>43</v>
      </c>
      <c r="I75" s="109">
        <f t="shared" si="7"/>
        <v>27</v>
      </c>
      <c r="J75" s="113"/>
    </row>
    <row r="76" customHeight="1" spans="2:10">
      <c r="B76" s="105">
        <v>44695</v>
      </c>
      <c r="C76" s="106" t="s">
        <v>207</v>
      </c>
      <c r="D76" s="106" t="s">
        <v>176</v>
      </c>
      <c r="E76" s="107">
        <v>74</v>
      </c>
      <c r="F76" s="108">
        <v>39.97</v>
      </c>
      <c r="G76" s="109">
        <f t="shared" si="5"/>
        <v>16</v>
      </c>
      <c r="H76" s="109">
        <f t="shared" si="6"/>
        <v>27</v>
      </c>
      <c r="I76" s="109">
        <f t="shared" si="7"/>
        <v>11</v>
      </c>
      <c r="J76" s="115"/>
    </row>
    <row r="77" customHeight="1" spans="2:10">
      <c r="B77" s="105">
        <v>44696</v>
      </c>
      <c r="C77" s="106" t="s">
        <v>207</v>
      </c>
      <c r="D77" s="106" t="s">
        <v>176</v>
      </c>
      <c r="E77" s="107">
        <v>75</v>
      </c>
      <c r="F77" s="108">
        <v>39.97</v>
      </c>
      <c r="G77" s="109">
        <f t="shared" si="5"/>
        <v>16</v>
      </c>
      <c r="H77" s="109">
        <f t="shared" si="6"/>
        <v>11</v>
      </c>
      <c r="I77" s="109">
        <f t="shared" si="7"/>
        <v>295</v>
      </c>
      <c r="J77" s="113">
        <v>300</v>
      </c>
    </row>
    <row r="78" customHeight="1" spans="2:10">
      <c r="B78" s="105">
        <v>44697</v>
      </c>
      <c r="C78" s="106" t="s">
        <v>207</v>
      </c>
      <c r="D78" s="106" t="s">
        <v>176</v>
      </c>
      <c r="E78" s="107">
        <v>76</v>
      </c>
      <c r="F78" s="108">
        <v>39.97</v>
      </c>
      <c r="G78" s="109">
        <f t="shared" si="5"/>
        <v>16</v>
      </c>
      <c r="H78" s="109">
        <f t="shared" si="6"/>
        <v>295</v>
      </c>
      <c r="I78" s="109">
        <f t="shared" si="7"/>
        <v>279</v>
      </c>
      <c r="J78" s="115"/>
    </row>
    <row r="79" customHeight="1" spans="2:10">
      <c r="B79" s="105">
        <v>44698</v>
      </c>
      <c r="C79" s="106" t="s">
        <v>207</v>
      </c>
      <c r="D79" s="106" t="s">
        <v>176</v>
      </c>
      <c r="E79" s="107">
        <v>77</v>
      </c>
      <c r="F79" s="108">
        <v>39.97</v>
      </c>
      <c r="G79" s="109">
        <f t="shared" si="5"/>
        <v>16</v>
      </c>
      <c r="H79" s="109">
        <f t="shared" si="6"/>
        <v>279</v>
      </c>
      <c r="I79" s="109">
        <f t="shared" si="7"/>
        <v>263</v>
      </c>
      <c r="J79" s="113"/>
    </row>
    <row r="80" customHeight="1" spans="2:10">
      <c r="B80" s="105">
        <v>44699</v>
      </c>
      <c r="C80" s="106" t="s">
        <v>207</v>
      </c>
      <c r="D80" s="106" t="s">
        <v>177</v>
      </c>
      <c r="E80" s="107">
        <v>78</v>
      </c>
      <c r="F80" s="108">
        <v>39.97</v>
      </c>
      <c r="G80" s="109">
        <f t="shared" si="5"/>
        <v>16</v>
      </c>
      <c r="H80" s="109">
        <f t="shared" si="6"/>
        <v>263</v>
      </c>
      <c r="I80" s="109">
        <f t="shared" si="7"/>
        <v>247</v>
      </c>
      <c r="J80" s="115"/>
    </row>
    <row r="81" customHeight="1" spans="2:10">
      <c r="B81" s="105">
        <v>44700</v>
      </c>
      <c r="C81" s="106" t="s">
        <v>207</v>
      </c>
      <c r="D81" s="106" t="s">
        <v>177</v>
      </c>
      <c r="E81" s="107">
        <v>79</v>
      </c>
      <c r="F81" s="108">
        <v>39.97</v>
      </c>
      <c r="G81" s="109">
        <f t="shared" si="5"/>
        <v>16</v>
      </c>
      <c r="H81" s="109">
        <f t="shared" si="6"/>
        <v>247</v>
      </c>
      <c r="I81" s="109">
        <f t="shared" si="7"/>
        <v>231</v>
      </c>
      <c r="J81" s="113"/>
    </row>
    <row r="82" customHeight="1" spans="2:10">
      <c r="B82" s="105">
        <v>44701</v>
      </c>
      <c r="C82" s="106" t="s">
        <v>207</v>
      </c>
      <c r="D82" s="106" t="s">
        <v>177</v>
      </c>
      <c r="E82" s="107">
        <v>80</v>
      </c>
      <c r="F82" s="108">
        <v>39.97</v>
      </c>
      <c r="G82" s="109">
        <f t="shared" si="5"/>
        <v>16</v>
      </c>
      <c r="H82" s="109">
        <f t="shared" si="6"/>
        <v>231</v>
      </c>
      <c r="I82" s="109">
        <f t="shared" si="7"/>
        <v>215</v>
      </c>
      <c r="J82" s="115"/>
    </row>
    <row r="83" customHeight="1" spans="2:10">
      <c r="B83" s="105">
        <v>44702</v>
      </c>
      <c r="C83" s="106" t="s">
        <v>207</v>
      </c>
      <c r="D83" s="106" t="s">
        <v>177</v>
      </c>
      <c r="E83" s="107">
        <v>81</v>
      </c>
      <c r="F83" s="108">
        <v>39.97</v>
      </c>
      <c r="G83" s="109">
        <f t="shared" si="5"/>
        <v>16</v>
      </c>
      <c r="H83" s="109">
        <f t="shared" si="6"/>
        <v>215</v>
      </c>
      <c r="I83" s="109">
        <f t="shared" si="7"/>
        <v>199</v>
      </c>
      <c r="J83" s="113"/>
    </row>
    <row r="84" customHeight="1" spans="2:10">
      <c r="B84" s="105">
        <v>44703</v>
      </c>
      <c r="C84" s="106" t="s">
        <v>207</v>
      </c>
      <c r="D84" s="106" t="s">
        <v>177</v>
      </c>
      <c r="E84" s="107">
        <v>82</v>
      </c>
      <c r="F84" s="108">
        <v>39.97</v>
      </c>
      <c r="G84" s="109">
        <f t="shared" si="5"/>
        <v>16</v>
      </c>
      <c r="H84" s="109">
        <f t="shared" si="6"/>
        <v>199</v>
      </c>
      <c r="I84" s="109">
        <f t="shared" si="7"/>
        <v>183</v>
      </c>
      <c r="J84" s="115"/>
    </row>
    <row r="85" customHeight="1" spans="2:10">
      <c r="B85" s="105">
        <v>44704</v>
      </c>
      <c r="C85" s="106" t="s">
        <v>207</v>
      </c>
      <c r="D85" s="106" t="s">
        <v>177</v>
      </c>
      <c r="E85" s="107">
        <v>83</v>
      </c>
      <c r="F85" s="108">
        <v>39.97</v>
      </c>
      <c r="G85" s="109">
        <f t="shared" si="5"/>
        <v>16</v>
      </c>
      <c r="H85" s="109">
        <f t="shared" si="6"/>
        <v>183</v>
      </c>
      <c r="I85" s="109">
        <f t="shared" si="7"/>
        <v>167</v>
      </c>
      <c r="J85" s="113"/>
    </row>
    <row r="86" ht="17.25" customHeight="1" spans="2:10">
      <c r="B86" s="105">
        <v>44705</v>
      </c>
      <c r="C86" s="106" t="s">
        <v>207</v>
      </c>
      <c r="D86" s="106" t="s">
        <v>177</v>
      </c>
      <c r="E86" s="107">
        <v>84</v>
      </c>
      <c r="F86" s="108">
        <v>39.97</v>
      </c>
      <c r="G86" s="109">
        <f t="shared" si="5"/>
        <v>16</v>
      </c>
      <c r="H86" s="109">
        <f t="shared" si="6"/>
        <v>167</v>
      </c>
      <c r="I86" s="109">
        <f t="shared" si="7"/>
        <v>151</v>
      </c>
      <c r="J86" s="7"/>
    </row>
    <row r="87" ht="17.25" customHeight="1" spans="2:10">
      <c r="B87" s="105">
        <v>44706</v>
      </c>
      <c r="C87" s="106" t="s">
        <v>207</v>
      </c>
      <c r="D87" s="106" t="s">
        <v>178</v>
      </c>
      <c r="E87" s="107">
        <v>85</v>
      </c>
      <c r="F87" s="108">
        <v>39.97</v>
      </c>
      <c r="G87" s="109">
        <f t="shared" si="5"/>
        <v>20</v>
      </c>
      <c r="H87" s="109">
        <f t="shared" si="6"/>
        <v>151</v>
      </c>
      <c r="I87" s="109">
        <f t="shared" si="7"/>
        <v>131</v>
      </c>
      <c r="J87" s="7"/>
    </row>
    <row r="88" ht="17.25" customHeight="1" spans="2:10">
      <c r="B88" s="105">
        <v>44707</v>
      </c>
      <c r="C88" s="106" t="s">
        <v>207</v>
      </c>
      <c r="D88" s="106" t="s">
        <v>178</v>
      </c>
      <c r="E88" s="107">
        <v>86</v>
      </c>
      <c r="F88" s="108">
        <v>39.97</v>
      </c>
      <c r="G88" s="109">
        <f t="shared" si="5"/>
        <v>20</v>
      </c>
      <c r="H88" s="109">
        <f t="shared" si="6"/>
        <v>131</v>
      </c>
      <c r="I88" s="109">
        <f t="shared" si="7"/>
        <v>111</v>
      </c>
      <c r="J88" s="7"/>
    </row>
    <row r="89" ht="17.25" customHeight="1" spans="2:10">
      <c r="B89" s="105">
        <v>44708</v>
      </c>
      <c r="C89" s="106" t="s">
        <v>207</v>
      </c>
      <c r="D89" s="106" t="s">
        <v>178</v>
      </c>
      <c r="E89" s="107">
        <v>87</v>
      </c>
      <c r="F89" s="108">
        <v>39.97</v>
      </c>
      <c r="G89" s="109">
        <f t="shared" si="5"/>
        <v>20</v>
      </c>
      <c r="H89" s="109">
        <f t="shared" si="6"/>
        <v>111</v>
      </c>
      <c r="I89" s="109">
        <f t="shared" si="7"/>
        <v>91</v>
      </c>
      <c r="J89" s="7"/>
    </row>
    <row r="90" ht="17.25" customHeight="1" spans="2:10">
      <c r="B90" s="105">
        <v>44709</v>
      </c>
      <c r="C90" s="106" t="s">
        <v>207</v>
      </c>
      <c r="D90" s="106" t="s">
        <v>178</v>
      </c>
      <c r="E90" s="107">
        <v>88</v>
      </c>
      <c r="F90" s="108">
        <v>39.97</v>
      </c>
      <c r="G90" s="109">
        <f t="shared" si="5"/>
        <v>20</v>
      </c>
      <c r="H90" s="109">
        <f t="shared" si="6"/>
        <v>91</v>
      </c>
      <c r="I90" s="109">
        <f t="shared" si="7"/>
        <v>71</v>
      </c>
      <c r="J90" s="7"/>
    </row>
    <row r="91" ht="17.25" customHeight="1" spans="2:10">
      <c r="B91" s="105">
        <v>44710</v>
      </c>
      <c r="C91" s="106" t="s">
        <v>207</v>
      </c>
      <c r="D91" s="106" t="s">
        <v>178</v>
      </c>
      <c r="E91" s="107">
        <v>89</v>
      </c>
      <c r="F91" s="108">
        <v>39.97</v>
      </c>
      <c r="G91" s="109">
        <f t="shared" si="5"/>
        <v>20</v>
      </c>
      <c r="H91" s="109">
        <f t="shared" si="6"/>
        <v>71</v>
      </c>
      <c r="I91" s="109">
        <f t="shared" si="7"/>
        <v>51</v>
      </c>
      <c r="J91" s="7"/>
    </row>
    <row r="92" ht="17.25" customHeight="1" spans="2:10">
      <c r="B92" s="105">
        <v>44711</v>
      </c>
      <c r="C92" s="106" t="s">
        <v>207</v>
      </c>
      <c r="D92" s="106" t="s">
        <v>178</v>
      </c>
      <c r="E92" s="107">
        <v>90</v>
      </c>
      <c r="F92" s="108">
        <v>39.97</v>
      </c>
      <c r="G92" s="109">
        <f t="shared" si="5"/>
        <v>20</v>
      </c>
      <c r="H92" s="109">
        <f t="shared" si="6"/>
        <v>51</v>
      </c>
      <c r="I92" s="109">
        <f t="shared" si="7"/>
        <v>31</v>
      </c>
      <c r="J92" s="7"/>
    </row>
  </sheetData>
  <mergeCells count="3">
    <mergeCell ref="L2:O2"/>
    <mergeCell ref="L19:U19"/>
    <mergeCell ref="L26:N26"/>
  </mergeCells>
  <conditionalFormatting sqref="I3:I92">
    <cfRule type="cellIs" dxfId="0" priority="1" operator="lessThan">
      <formula>10</formula>
    </cfRule>
  </conditionalFormatting>
  <dataValidations count="1">
    <dataValidation type="list" allowBlank="1" showInputMessage="1" showErrorMessage="1" sqref="O21:O24">
      <formula1>$L$29:$L$33</formula1>
    </dataValidation>
  </dataValidations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2:AB38"/>
  <sheetViews>
    <sheetView showGridLines="0" zoomScale="60" zoomScaleNormal="60" workbookViewId="0">
      <selection activeCell="K26" sqref="K26"/>
    </sheetView>
  </sheetViews>
  <sheetFormatPr defaultColWidth="9" defaultRowHeight="13.5" customHeight="1"/>
  <cols>
    <col min="1" max="1" width="2.125" style="36" customWidth="1"/>
    <col min="2" max="2" width="13.5" style="36" customWidth="1"/>
    <col min="3" max="3" width="13.125" style="36" customWidth="1"/>
    <col min="4" max="8" width="8.875" style="36" customWidth="1"/>
    <col min="9" max="9" width="13.625" style="36" customWidth="1"/>
    <col min="10" max="12" width="8.875" style="36" customWidth="1"/>
    <col min="13" max="14" width="8.125" style="36" customWidth="1"/>
    <col min="15" max="15" width="8" style="36" customWidth="1"/>
    <col min="16" max="16" width="7" style="36" customWidth="1"/>
    <col min="17" max="19" width="8.875" style="36" customWidth="1"/>
    <col min="20" max="20" width="8.125" style="36" customWidth="1"/>
    <col min="21" max="21" width="8" style="36" customWidth="1"/>
    <col min="22" max="22" width="8.875" style="36" customWidth="1"/>
    <col min="23" max="23" width="12.875" style="36" customWidth="1"/>
    <col min="24" max="25" width="8.875" style="36" customWidth="1"/>
    <col min="26" max="26" width="8.125" style="36" customWidth="1"/>
    <col min="27" max="27" width="12.875" style="36" customWidth="1"/>
    <col min="28" max="28" width="18.875" style="36" customWidth="1"/>
  </cols>
  <sheetData>
    <row r="2" ht="22.5" customHeight="1" spans="2:28">
      <c r="B2" s="38">
        <v>1</v>
      </c>
      <c r="C2" s="39" t="s">
        <v>208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77"/>
      <c r="P2" s="54"/>
      <c r="Q2" s="82" t="s">
        <v>209</v>
      </c>
      <c r="R2" s="82"/>
      <c r="S2" s="82"/>
      <c r="T2" s="82"/>
      <c r="U2" s="83"/>
      <c r="V2" s="54"/>
      <c r="W2" s="82" t="s">
        <v>210</v>
      </c>
      <c r="X2" s="82"/>
      <c r="Y2" s="82"/>
      <c r="Z2" s="82"/>
      <c r="AA2" s="83"/>
      <c r="AB2" s="54"/>
    </row>
    <row r="3" ht="16.5" customHeight="1" spans="2:28">
      <c r="B3" s="41" t="s">
        <v>211</v>
      </c>
      <c r="C3" s="42" t="s">
        <v>212</v>
      </c>
      <c r="D3" s="43"/>
      <c r="E3" s="43"/>
      <c r="F3" s="43"/>
      <c r="G3" s="43"/>
      <c r="H3" s="43"/>
      <c r="I3" s="43"/>
      <c r="J3" s="43"/>
      <c r="K3" s="43"/>
      <c r="L3" s="78"/>
      <c r="M3" s="78"/>
      <c r="N3" s="79" t="s">
        <v>135</v>
      </c>
      <c r="O3" s="80" t="s">
        <v>74</v>
      </c>
      <c r="P3" s="54"/>
      <c r="Q3" s="43"/>
      <c r="R3" s="43"/>
      <c r="S3" s="43"/>
      <c r="T3" s="79" t="s">
        <v>135</v>
      </c>
      <c r="U3" s="80" t="s">
        <v>74</v>
      </c>
      <c r="V3" s="54"/>
      <c r="W3" s="43"/>
      <c r="X3" s="43"/>
      <c r="Y3" s="43"/>
      <c r="Z3" s="79" t="s">
        <v>135</v>
      </c>
      <c r="AA3" s="80" t="s">
        <v>74</v>
      </c>
      <c r="AB3" s="54"/>
    </row>
    <row r="4" ht="16.5" customHeight="1" spans="2:28">
      <c r="B4" s="41"/>
      <c r="C4" s="45" t="s">
        <v>213</v>
      </c>
      <c r="D4" s="45" t="s">
        <v>214</v>
      </c>
      <c r="E4" s="45" t="s">
        <v>215</v>
      </c>
      <c r="F4" s="45" t="s">
        <v>216</v>
      </c>
      <c r="G4" s="45" t="s">
        <v>217</v>
      </c>
      <c r="H4" s="45" t="s">
        <v>218</v>
      </c>
      <c r="I4" s="45" t="s">
        <v>219</v>
      </c>
      <c r="J4" s="45" t="s">
        <v>220</v>
      </c>
      <c r="K4" s="45" t="s">
        <v>221</v>
      </c>
      <c r="L4" s="45" t="s">
        <v>222</v>
      </c>
      <c r="M4" s="45" t="s">
        <v>223</v>
      </c>
      <c r="N4" s="79"/>
      <c r="O4" s="80"/>
      <c r="P4" s="54"/>
      <c r="Q4" s="45" t="s">
        <v>214</v>
      </c>
      <c r="R4" s="45" t="s">
        <v>215</v>
      </c>
      <c r="S4" s="45" t="s">
        <v>216</v>
      </c>
      <c r="T4" s="79"/>
      <c r="U4" s="80"/>
      <c r="V4" s="54"/>
      <c r="W4" s="84" t="s">
        <v>214</v>
      </c>
      <c r="X4" s="84" t="s">
        <v>224</v>
      </c>
      <c r="Y4" s="84" t="s">
        <v>216</v>
      </c>
      <c r="Z4" s="79"/>
      <c r="AA4" s="80"/>
      <c r="AB4" s="54"/>
    </row>
    <row r="5" s="35" customFormat="1" ht="16.5" customHeight="1" spans="1:28">
      <c r="A5" s="37"/>
      <c r="B5" s="46">
        <f>B6-$B$2</f>
        <v>32.99</v>
      </c>
      <c r="C5" s="47">
        <f t="shared" ref="C5:C14" si="0">$E$19</f>
        <v>10.4895104895105</v>
      </c>
      <c r="D5" s="48">
        <f t="shared" ref="D5:D14" si="1">C5/B5*100%</f>
        <v>0.317960305835419</v>
      </c>
      <c r="E5" s="47">
        <f t="shared" ref="E5:E14" si="2">$E$20</f>
        <v>1.53</v>
      </c>
      <c r="F5" s="48">
        <f t="shared" ref="F5:F14" si="3">E5/B5*100%</f>
        <v>0.0463776902091543</v>
      </c>
      <c r="G5" s="46">
        <f t="shared" ref="G5:G14" si="4">$C$36</f>
        <v>6.37</v>
      </c>
      <c r="H5" s="47">
        <f t="shared" ref="H5:H14" si="5">B5*0.15</f>
        <v>4.9485</v>
      </c>
      <c r="I5" s="47">
        <v>0</v>
      </c>
      <c r="J5" s="47">
        <f t="shared" ref="J5:J14" si="6">B5*0.2</f>
        <v>6.598</v>
      </c>
      <c r="K5" s="47">
        <f t="shared" ref="K5:K14" si="7">B5*0.03</f>
        <v>0.9897</v>
      </c>
      <c r="L5" s="47">
        <f t="shared" ref="L5:L14" si="8">B5*$C$29</f>
        <v>1.6495</v>
      </c>
      <c r="M5" s="47">
        <v>0</v>
      </c>
      <c r="N5" s="47">
        <f t="shared" ref="N5:N14" si="9">B5-C5-E5-G5-H5-J5-K5-L5-I5-M5</f>
        <v>0.414789510489513</v>
      </c>
      <c r="O5" s="48">
        <f t="shared" ref="O5:O14" si="10">N5/B5</f>
        <v>0.012573189163065</v>
      </c>
      <c r="P5" s="3"/>
      <c r="Q5" s="48">
        <f t="shared" ref="Q5:Q14" si="11">C5/B5*100%</f>
        <v>0.317960305835419</v>
      </c>
      <c r="R5" s="47">
        <f t="shared" ref="R5:R14" si="12">$E$21</f>
        <v>4.72909090909091</v>
      </c>
      <c r="S5" s="48">
        <f t="shared" ref="S5:S14" si="13">R5/B5*100%</f>
        <v>0.143349224282841</v>
      </c>
      <c r="T5" s="47">
        <f>B5-C5-R5-G5-H5-J5-K5-L5-I5-M5</f>
        <v>-2.7843013986014</v>
      </c>
      <c r="U5" s="48">
        <f t="shared" ref="U5:U14" si="14">T5/B5</f>
        <v>-0.0843983449106213</v>
      </c>
      <c r="V5" s="3"/>
      <c r="W5" s="48">
        <f t="shared" ref="W5:W14" si="15">C5/B5*100%</f>
        <v>0.317960305835419</v>
      </c>
      <c r="X5" s="47">
        <f t="shared" ref="X5:X14" si="16">$E$22</f>
        <v>5.56363636363636</v>
      </c>
      <c r="Y5" s="48">
        <f t="shared" ref="Y5:Y14" si="17">X5/B5*100%</f>
        <v>0.168646146215106</v>
      </c>
      <c r="Z5" s="47">
        <f>B5-C5-X5-G5-H5-J5-K5-L5-I5-M5</f>
        <v>-3.61884685314685</v>
      </c>
      <c r="AA5" s="48">
        <f t="shared" ref="AA5:AA14" si="18">Z5/B5</f>
        <v>-0.109695266842887</v>
      </c>
      <c r="AB5" s="3"/>
    </row>
    <row r="6" s="35" customFormat="1" ht="16.5" customHeight="1" spans="1:28">
      <c r="A6" s="37"/>
      <c r="B6" s="46">
        <f>B7-$B$2</f>
        <v>33.99</v>
      </c>
      <c r="C6" s="47">
        <f t="shared" si="0"/>
        <v>10.4895104895105</v>
      </c>
      <c r="D6" s="48">
        <f t="shared" si="1"/>
        <v>0.308605780803486</v>
      </c>
      <c r="E6" s="47">
        <f t="shared" si="2"/>
        <v>1.53</v>
      </c>
      <c r="F6" s="48">
        <f t="shared" si="3"/>
        <v>0.0450132391879965</v>
      </c>
      <c r="G6" s="46">
        <f t="shared" si="4"/>
        <v>6.37</v>
      </c>
      <c r="H6" s="47">
        <f t="shared" si="5"/>
        <v>5.0985</v>
      </c>
      <c r="I6" s="47">
        <v>0</v>
      </c>
      <c r="J6" s="47">
        <f t="shared" si="6"/>
        <v>6.798</v>
      </c>
      <c r="K6" s="47">
        <f t="shared" si="7"/>
        <v>1.0197</v>
      </c>
      <c r="L6" s="47">
        <f t="shared" si="8"/>
        <v>1.6995</v>
      </c>
      <c r="M6" s="47">
        <v>0</v>
      </c>
      <c r="N6" s="47">
        <f t="shared" si="9"/>
        <v>0.984789510489511</v>
      </c>
      <c r="O6" s="48">
        <f t="shared" si="10"/>
        <v>0.0289729188140486</v>
      </c>
      <c r="P6" s="3"/>
      <c r="Q6" s="48">
        <f t="shared" si="11"/>
        <v>0.308605780803486</v>
      </c>
      <c r="R6" s="47">
        <f t="shared" si="12"/>
        <v>4.72909090909091</v>
      </c>
      <c r="S6" s="48">
        <f t="shared" si="13"/>
        <v>0.139131830217444</v>
      </c>
      <c r="T6" s="47">
        <f t="shared" ref="T6:T14" si="19">B6-C6-R6-G6-H6-J6-K6-L6-I6-M6</f>
        <v>-2.2143013986014</v>
      </c>
      <c r="U6" s="48">
        <f t="shared" si="14"/>
        <v>-0.0651456722153986</v>
      </c>
      <c r="V6" s="3"/>
      <c r="W6" s="48">
        <f t="shared" si="15"/>
        <v>0.308605780803486</v>
      </c>
      <c r="X6" s="47">
        <f t="shared" si="16"/>
        <v>5.56363636363636</v>
      </c>
      <c r="Y6" s="48">
        <f t="shared" si="17"/>
        <v>0.163684506138169</v>
      </c>
      <c r="Z6" s="47">
        <f t="shared" ref="Z6:Z14" si="20">B6-C6-X6-G6-H6-J6-K6-L6-I6-M6</f>
        <v>-3.04884685314685</v>
      </c>
      <c r="AA6" s="48">
        <f t="shared" si="18"/>
        <v>-0.0896983481361238</v>
      </c>
      <c r="AB6" s="3"/>
    </row>
    <row r="7" s="35" customFormat="1" ht="16.5" customHeight="1" spans="1:28">
      <c r="A7" s="37"/>
      <c r="B7" s="46">
        <f>B8-$B$2</f>
        <v>34.99</v>
      </c>
      <c r="C7" s="47">
        <f t="shared" si="0"/>
        <v>10.4895104895105</v>
      </c>
      <c r="D7" s="48">
        <f t="shared" si="1"/>
        <v>0.29978595282968</v>
      </c>
      <c r="E7" s="47">
        <f t="shared" si="2"/>
        <v>1.53</v>
      </c>
      <c r="F7" s="48">
        <f t="shared" si="3"/>
        <v>0.0437267790797371</v>
      </c>
      <c r="G7" s="46">
        <f t="shared" si="4"/>
        <v>6.37</v>
      </c>
      <c r="H7" s="47">
        <f t="shared" si="5"/>
        <v>5.2485</v>
      </c>
      <c r="I7" s="47">
        <v>0</v>
      </c>
      <c r="J7" s="47">
        <f t="shared" si="6"/>
        <v>6.998</v>
      </c>
      <c r="K7" s="47">
        <f t="shared" si="7"/>
        <v>1.0497</v>
      </c>
      <c r="L7" s="47">
        <f t="shared" si="8"/>
        <v>1.7495</v>
      </c>
      <c r="M7" s="47">
        <v>0</v>
      </c>
      <c r="N7" s="47">
        <f t="shared" si="9"/>
        <v>1.55478951048951</v>
      </c>
      <c r="O7" s="48">
        <f t="shared" si="10"/>
        <v>0.0444352532291944</v>
      </c>
      <c r="P7" s="3"/>
      <c r="Q7" s="48">
        <f t="shared" si="11"/>
        <v>0.29978595282968</v>
      </c>
      <c r="R7" s="47">
        <f t="shared" si="12"/>
        <v>4.72909090909091</v>
      </c>
      <c r="S7" s="48">
        <f t="shared" si="13"/>
        <v>0.135155498973733</v>
      </c>
      <c r="T7" s="47">
        <f t="shared" si="19"/>
        <v>-1.6443013986014</v>
      </c>
      <c r="U7" s="48">
        <f t="shared" si="14"/>
        <v>-0.0469934666648013</v>
      </c>
      <c r="V7" s="3"/>
      <c r="W7" s="48">
        <f t="shared" si="15"/>
        <v>0.29978595282968</v>
      </c>
      <c r="X7" s="47">
        <f t="shared" si="16"/>
        <v>5.56363636363636</v>
      </c>
      <c r="Y7" s="48">
        <f t="shared" si="17"/>
        <v>0.159006469380862</v>
      </c>
      <c r="Z7" s="47">
        <f t="shared" si="20"/>
        <v>-2.47884685314685</v>
      </c>
      <c r="AA7" s="48">
        <f t="shared" si="18"/>
        <v>-0.0708444370719305</v>
      </c>
      <c r="AB7" s="3"/>
    </row>
    <row r="8" s="35" customFormat="1" ht="16.5" customHeight="1" spans="1:28">
      <c r="A8" s="37"/>
      <c r="B8" s="46">
        <f>B9-$B$2</f>
        <v>35.99</v>
      </c>
      <c r="C8" s="47">
        <f t="shared" si="0"/>
        <v>10.4895104895105</v>
      </c>
      <c r="D8" s="48">
        <f t="shared" si="1"/>
        <v>0.291456251445137</v>
      </c>
      <c r="E8" s="47">
        <f t="shared" si="2"/>
        <v>1.53</v>
      </c>
      <c r="F8" s="48">
        <f t="shared" si="3"/>
        <v>0.0425118088357877</v>
      </c>
      <c r="G8" s="46">
        <f t="shared" si="4"/>
        <v>6.37</v>
      </c>
      <c r="H8" s="47">
        <f t="shared" si="5"/>
        <v>5.3985</v>
      </c>
      <c r="I8" s="47">
        <v>0</v>
      </c>
      <c r="J8" s="47">
        <f t="shared" si="6"/>
        <v>7.198</v>
      </c>
      <c r="K8" s="47">
        <f t="shared" si="7"/>
        <v>1.0797</v>
      </c>
      <c r="L8" s="47">
        <f t="shared" si="8"/>
        <v>1.7995</v>
      </c>
      <c r="M8" s="47">
        <v>0</v>
      </c>
      <c r="N8" s="47">
        <f t="shared" si="9"/>
        <v>2.12478951048951</v>
      </c>
      <c r="O8" s="48">
        <f t="shared" si="10"/>
        <v>0.0590383303831484</v>
      </c>
      <c r="P8" s="3"/>
      <c r="Q8" s="48">
        <f t="shared" si="11"/>
        <v>0.291456251445137</v>
      </c>
      <c r="R8" s="47">
        <f t="shared" si="12"/>
        <v>4.72909090909091</v>
      </c>
      <c r="S8" s="48">
        <f t="shared" si="13"/>
        <v>0.131400136401526</v>
      </c>
      <c r="T8" s="47">
        <f t="shared" si="19"/>
        <v>-1.0743013986014</v>
      </c>
      <c r="U8" s="48">
        <f t="shared" si="14"/>
        <v>-0.0298499971825895</v>
      </c>
      <c r="V8" s="3"/>
      <c r="W8" s="48">
        <f t="shared" si="15"/>
        <v>0.291456251445137</v>
      </c>
      <c r="X8" s="47">
        <f t="shared" si="16"/>
        <v>5.56363636363636</v>
      </c>
      <c r="Y8" s="48">
        <f t="shared" si="17"/>
        <v>0.154588395766501</v>
      </c>
      <c r="Z8" s="47">
        <f t="shared" si="20"/>
        <v>-1.90884685314685</v>
      </c>
      <c r="AA8" s="48">
        <f t="shared" si="18"/>
        <v>-0.0530382565475646</v>
      </c>
      <c r="AB8" s="3"/>
    </row>
    <row r="9" s="35" customFormat="1" ht="16.5" customHeight="1" spans="1:28">
      <c r="A9" s="37"/>
      <c r="B9" s="49">
        <f>B17</f>
        <v>36.99</v>
      </c>
      <c r="C9" s="50">
        <f t="shared" si="0"/>
        <v>10.4895104895105</v>
      </c>
      <c r="D9" s="51">
        <f t="shared" si="1"/>
        <v>0.283576925912692</v>
      </c>
      <c r="E9" s="50">
        <f t="shared" si="2"/>
        <v>1.53</v>
      </c>
      <c r="F9" s="51">
        <f t="shared" si="3"/>
        <v>0.0413625304136253</v>
      </c>
      <c r="G9" s="49">
        <f t="shared" si="4"/>
        <v>6.37</v>
      </c>
      <c r="H9" s="50">
        <f t="shared" si="5"/>
        <v>5.5485</v>
      </c>
      <c r="I9" s="50">
        <v>0</v>
      </c>
      <c r="J9" s="50">
        <f t="shared" si="6"/>
        <v>7.398</v>
      </c>
      <c r="K9" s="50">
        <f t="shared" si="7"/>
        <v>1.1097</v>
      </c>
      <c r="L9" s="50">
        <f t="shared" si="8"/>
        <v>1.8495</v>
      </c>
      <c r="M9" s="50">
        <v>0</v>
      </c>
      <c r="N9" s="50">
        <f t="shared" si="9"/>
        <v>2.69478951048951</v>
      </c>
      <c r="O9" s="51">
        <f t="shared" si="10"/>
        <v>0.072851838618262</v>
      </c>
      <c r="P9" s="3"/>
      <c r="Q9" s="51">
        <f t="shared" si="11"/>
        <v>0.283576925912692</v>
      </c>
      <c r="R9" s="50">
        <f t="shared" si="12"/>
        <v>4.72909090909091</v>
      </c>
      <c r="S9" s="51">
        <f t="shared" si="13"/>
        <v>0.127847821278478</v>
      </c>
      <c r="T9" s="50">
        <f t="shared" si="19"/>
        <v>-0.504301398601397</v>
      </c>
      <c r="U9" s="51">
        <f t="shared" si="14"/>
        <v>-0.0136334522465909</v>
      </c>
      <c r="V9" s="3"/>
      <c r="W9" s="51">
        <f t="shared" si="15"/>
        <v>0.283576925912692</v>
      </c>
      <c r="X9" s="50">
        <f t="shared" si="16"/>
        <v>5.56363636363636</v>
      </c>
      <c r="Y9" s="51">
        <f t="shared" si="17"/>
        <v>0.150409201504092</v>
      </c>
      <c r="Z9" s="50">
        <f t="shared" si="20"/>
        <v>-1.33884685314685</v>
      </c>
      <c r="AA9" s="51">
        <f t="shared" si="18"/>
        <v>-0.0361948324722046</v>
      </c>
      <c r="AB9" s="3"/>
    </row>
    <row r="10" s="35" customFormat="1" ht="16.5" customHeight="1" spans="1:28">
      <c r="A10" s="37"/>
      <c r="B10" s="46">
        <f>B9+$B$2</f>
        <v>37.99</v>
      </c>
      <c r="C10" s="47">
        <f t="shared" si="0"/>
        <v>10.4895104895105</v>
      </c>
      <c r="D10" s="48">
        <f t="shared" si="1"/>
        <v>0.276112410884719</v>
      </c>
      <c r="E10" s="47">
        <f t="shared" si="2"/>
        <v>1.53</v>
      </c>
      <c r="F10" s="48">
        <f t="shared" si="3"/>
        <v>0.0402737562516452</v>
      </c>
      <c r="G10" s="46">
        <f t="shared" si="4"/>
        <v>6.37</v>
      </c>
      <c r="H10" s="47">
        <f t="shared" si="5"/>
        <v>5.6985</v>
      </c>
      <c r="I10" s="47">
        <v>0</v>
      </c>
      <c r="J10" s="47">
        <f t="shared" si="6"/>
        <v>7.598</v>
      </c>
      <c r="K10" s="47">
        <f t="shared" si="7"/>
        <v>1.1397</v>
      </c>
      <c r="L10" s="47">
        <f t="shared" si="8"/>
        <v>1.8995</v>
      </c>
      <c r="M10" s="47">
        <v>0</v>
      </c>
      <c r="N10" s="47">
        <f t="shared" si="9"/>
        <v>3.26478951048951</v>
      </c>
      <c r="O10" s="48">
        <f t="shared" si="10"/>
        <v>0.085938128730969</v>
      </c>
      <c r="P10" s="3"/>
      <c r="Q10" s="48">
        <f t="shared" si="11"/>
        <v>0.276112410884719</v>
      </c>
      <c r="R10" s="47">
        <f t="shared" si="12"/>
        <v>4.72909090909091</v>
      </c>
      <c r="S10" s="48">
        <f t="shared" si="13"/>
        <v>0.124482519323267</v>
      </c>
      <c r="T10" s="47">
        <f t="shared" si="19"/>
        <v>0.0656986013986041</v>
      </c>
      <c r="U10" s="48">
        <f t="shared" si="14"/>
        <v>0.0017293656593473</v>
      </c>
      <c r="V10" s="3"/>
      <c r="W10" s="48">
        <f t="shared" si="15"/>
        <v>0.276112410884719</v>
      </c>
      <c r="X10" s="47">
        <f t="shared" si="16"/>
        <v>5.56363636363636</v>
      </c>
      <c r="Y10" s="48">
        <f t="shared" si="17"/>
        <v>0.146450022733255</v>
      </c>
      <c r="Z10" s="47">
        <f t="shared" si="20"/>
        <v>-0.768846853146848</v>
      </c>
      <c r="AA10" s="48">
        <f t="shared" si="18"/>
        <v>-0.0202381377506409</v>
      </c>
      <c r="AB10" s="3"/>
    </row>
    <row r="11" s="35" customFormat="1" ht="16.5" customHeight="1" spans="1:28">
      <c r="A11" s="37"/>
      <c r="B11" s="46">
        <f>B10+$B$2</f>
        <v>38.99</v>
      </c>
      <c r="C11" s="47">
        <f t="shared" si="0"/>
        <v>10.4895104895105</v>
      </c>
      <c r="D11" s="48">
        <f t="shared" si="1"/>
        <v>0.269030789677109</v>
      </c>
      <c r="E11" s="47">
        <f t="shared" si="2"/>
        <v>1.53</v>
      </c>
      <c r="F11" s="48">
        <f t="shared" si="3"/>
        <v>0.0392408309823032</v>
      </c>
      <c r="G11" s="47">
        <f t="shared" si="4"/>
        <v>6.37</v>
      </c>
      <c r="H11" s="47">
        <f t="shared" si="5"/>
        <v>5.8485</v>
      </c>
      <c r="I11" s="47">
        <v>0</v>
      </c>
      <c r="J11" s="47">
        <f t="shared" si="6"/>
        <v>7.798</v>
      </c>
      <c r="K11" s="47">
        <f t="shared" si="7"/>
        <v>1.1697</v>
      </c>
      <c r="L11" s="47">
        <f t="shared" si="8"/>
        <v>1.9495</v>
      </c>
      <c r="M11" s="47">
        <v>0</v>
      </c>
      <c r="N11" s="47">
        <f t="shared" si="9"/>
        <v>3.83478951048951</v>
      </c>
      <c r="O11" s="48">
        <f t="shared" si="10"/>
        <v>0.0983531549240706</v>
      </c>
      <c r="P11" s="81"/>
      <c r="Q11" s="48">
        <f t="shared" si="11"/>
        <v>0.269030789677109</v>
      </c>
      <c r="R11" s="52">
        <f t="shared" si="12"/>
        <v>4.72909090909091</v>
      </c>
      <c r="S11" s="48">
        <f t="shared" si="13"/>
        <v>0.121289841218028</v>
      </c>
      <c r="T11" s="47">
        <f t="shared" si="19"/>
        <v>0.635698601398602</v>
      </c>
      <c r="U11" s="48">
        <f t="shared" si="14"/>
        <v>0.0163041446883458</v>
      </c>
      <c r="V11" s="81"/>
      <c r="W11" s="48">
        <f t="shared" si="15"/>
        <v>0.269030789677109</v>
      </c>
      <c r="X11" s="52">
        <f t="shared" si="16"/>
        <v>5.56363636363636</v>
      </c>
      <c r="Y11" s="48">
        <f t="shared" si="17"/>
        <v>0.142693930844739</v>
      </c>
      <c r="Z11" s="47">
        <f t="shared" si="20"/>
        <v>-0.198846853146851</v>
      </c>
      <c r="AA11" s="48">
        <f t="shared" si="18"/>
        <v>-0.00509994493836498</v>
      </c>
      <c r="AB11" s="3"/>
    </row>
    <row r="12" s="35" customFormat="1" ht="16.5" customHeight="1" spans="1:28">
      <c r="A12" s="37"/>
      <c r="B12" s="46">
        <f>B11+$B$2</f>
        <v>39.99</v>
      </c>
      <c r="C12" s="47">
        <f t="shared" si="0"/>
        <v>10.4895104895105</v>
      </c>
      <c r="D12" s="48">
        <f t="shared" si="1"/>
        <v>0.26230333807228</v>
      </c>
      <c r="E12" s="47">
        <f t="shared" si="2"/>
        <v>1.53</v>
      </c>
      <c r="F12" s="48">
        <f t="shared" si="3"/>
        <v>0.0382595648912228</v>
      </c>
      <c r="G12" s="46">
        <f t="shared" si="4"/>
        <v>6.37</v>
      </c>
      <c r="H12" s="47">
        <f t="shared" si="5"/>
        <v>5.9985</v>
      </c>
      <c r="I12" s="47">
        <v>0</v>
      </c>
      <c r="J12" s="47">
        <f t="shared" si="6"/>
        <v>7.998</v>
      </c>
      <c r="K12" s="47">
        <f t="shared" si="7"/>
        <v>1.1997</v>
      </c>
      <c r="L12" s="47">
        <f t="shared" si="8"/>
        <v>1.9995</v>
      </c>
      <c r="M12" s="47">
        <v>0</v>
      </c>
      <c r="N12" s="47">
        <f t="shared" si="9"/>
        <v>4.40478951048951</v>
      </c>
      <c r="O12" s="48">
        <f t="shared" si="10"/>
        <v>0.110147274580883</v>
      </c>
      <c r="P12" s="81"/>
      <c r="Q12" s="48">
        <f t="shared" si="11"/>
        <v>0.26230333807228</v>
      </c>
      <c r="R12" s="52">
        <f t="shared" si="12"/>
        <v>4.72909090909091</v>
      </c>
      <c r="S12" s="48">
        <f t="shared" si="13"/>
        <v>0.118256836936507</v>
      </c>
      <c r="T12" s="47">
        <f t="shared" si="19"/>
        <v>1.2056986013986</v>
      </c>
      <c r="U12" s="48">
        <f t="shared" si="14"/>
        <v>0.030150002535599</v>
      </c>
      <c r="V12" s="81"/>
      <c r="W12" s="48">
        <f t="shared" si="15"/>
        <v>0.26230333807228</v>
      </c>
      <c r="X12" s="52">
        <f t="shared" si="16"/>
        <v>5.56363636363636</v>
      </c>
      <c r="Y12" s="48">
        <f t="shared" si="17"/>
        <v>0.139125690513537</v>
      </c>
      <c r="Z12" s="47">
        <f t="shared" si="20"/>
        <v>0.371153146853151</v>
      </c>
      <c r="AA12" s="48">
        <f t="shared" si="18"/>
        <v>0.00928114895856841</v>
      </c>
      <c r="AB12" s="3"/>
    </row>
    <row r="13" s="35" customFormat="1" ht="16.5" customHeight="1" spans="1:28">
      <c r="A13" s="37"/>
      <c r="B13" s="46">
        <f>B12+$B$2</f>
        <v>40.99</v>
      </c>
      <c r="C13" s="47">
        <f t="shared" si="0"/>
        <v>10.4895104895105</v>
      </c>
      <c r="D13" s="48">
        <f t="shared" si="1"/>
        <v>0.255904134899012</v>
      </c>
      <c r="E13" s="47">
        <f t="shared" si="2"/>
        <v>1.53</v>
      </c>
      <c r="F13" s="48">
        <f t="shared" si="3"/>
        <v>0.0373261771163698</v>
      </c>
      <c r="G13" s="46">
        <f t="shared" si="4"/>
        <v>6.37</v>
      </c>
      <c r="H13" s="47">
        <f t="shared" si="5"/>
        <v>6.1485</v>
      </c>
      <c r="I13" s="47">
        <v>0</v>
      </c>
      <c r="J13" s="47">
        <f t="shared" si="6"/>
        <v>8.198</v>
      </c>
      <c r="K13" s="47">
        <f t="shared" si="7"/>
        <v>1.2297</v>
      </c>
      <c r="L13" s="47">
        <f t="shared" si="8"/>
        <v>2.0495</v>
      </c>
      <c r="M13" s="47">
        <v>0</v>
      </c>
      <c r="N13" s="47">
        <f t="shared" si="9"/>
        <v>4.97478951048951</v>
      </c>
      <c r="O13" s="48">
        <f t="shared" si="10"/>
        <v>0.121365930970713</v>
      </c>
      <c r="P13" s="81"/>
      <c r="Q13" s="48">
        <f t="shared" si="11"/>
        <v>0.255904134899012</v>
      </c>
      <c r="R13" s="52">
        <f t="shared" si="12"/>
        <v>4.72909090909091</v>
      </c>
      <c r="S13" s="48">
        <f t="shared" si="13"/>
        <v>0.11537182017787</v>
      </c>
      <c r="T13" s="47">
        <f t="shared" si="19"/>
        <v>1.7756986013986</v>
      </c>
      <c r="U13" s="48">
        <f t="shared" si="14"/>
        <v>0.0433202879092121</v>
      </c>
      <c r="V13" s="81"/>
      <c r="W13" s="48">
        <f t="shared" si="15"/>
        <v>0.255904134899012</v>
      </c>
      <c r="X13" s="52">
        <f t="shared" si="16"/>
        <v>5.56363636363636</v>
      </c>
      <c r="Y13" s="48">
        <f t="shared" si="17"/>
        <v>0.135731553150436</v>
      </c>
      <c r="Z13" s="47">
        <f t="shared" si="20"/>
        <v>0.941153146853151</v>
      </c>
      <c r="AA13" s="48">
        <f t="shared" si="18"/>
        <v>0.0229605549366468</v>
      </c>
      <c r="AB13" s="3"/>
    </row>
    <row r="14" s="35" customFormat="1" ht="16.5" customHeight="1" spans="1:28">
      <c r="A14" s="37"/>
      <c r="B14" s="46">
        <f>B13+$B$2</f>
        <v>41.99</v>
      </c>
      <c r="C14" s="52">
        <f t="shared" si="0"/>
        <v>10.4895104895105</v>
      </c>
      <c r="D14" s="53">
        <f t="shared" si="1"/>
        <v>0.249809728256978</v>
      </c>
      <c r="E14" s="52">
        <f t="shared" si="2"/>
        <v>1.53</v>
      </c>
      <c r="F14" s="53">
        <f t="shared" si="3"/>
        <v>0.0364372469635627</v>
      </c>
      <c r="G14" s="46">
        <f t="shared" si="4"/>
        <v>6.37</v>
      </c>
      <c r="H14" s="52">
        <f t="shared" si="5"/>
        <v>6.2985</v>
      </c>
      <c r="I14" s="52">
        <v>0</v>
      </c>
      <c r="J14" s="47">
        <f t="shared" si="6"/>
        <v>8.398</v>
      </c>
      <c r="K14" s="52">
        <f t="shared" si="7"/>
        <v>1.2597</v>
      </c>
      <c r="L14" s="47">
        <f t="shared" si="8"/>
        <v>2.0995</v>
      </c>
      <c r="M14" s="47">
        <v>0</v>
      </c>
      <c r="N14" s="47">
        <f t="shared" si="9"/>
        <v>5.54478951048951</v>
      </c>
      <c r="O14" s="53">
        <f t="shared" si="10"/>
        <v>0.132050238401751</v>
      </c>
      <c r="P14" s="81"/>
      <c r="Q14" s="48">
        <f t="shared" si="11"/>
        <v>0.249809728256978</v>
      </c>
      <c r="R14" s="52">
        <f t="shared" si="12"/>
        <v>4.72909090909091</v>
      </c>
      <c r="S14" s="48">
        <f t="shared" si="13"/>
        <v>0.112624217887376</v>
      </c>
      <c r="T14" s="47">
        <f t="shared" si="19"/>
        <v>2.3456986013986</v>
      </c>
      <c r="U14" s="48">
        <f t="shared" si="14"/>
        <v>0.0558632674779376</v>
      </c>
      <c r="V14" s="81"/>
      <c r="W14" s="48">
        <f t="shared" si="15"/>
        <v>0.249809728256978</v>
      </c>
      <c r="X14" s="52">
        <f t="shared" si="16"/>
        <v>5.56363636363636</v>
      </c>
      <c r="Y14" s="48">
        <f t="shared" si="17"/>
        <v>0.132499079867501</v>
      </c>
      <c r="Z14" s="47">
        <f t="shared" si="20"/>
        <v>1.51115314685315</v>
      </c>
      <c r="AA14" s="48">
        <f t="shared" si="18"/>
        <v>0.0359884054978126</v>
      </c>
      <c r="AB14" s="3"/>
    </row>
    <row r="15" ht="16.5" customHeight="1" spans="2:28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1" customHeight="1" spans="2:28">
      <c r="B16" s="55" t="s">
        <v>225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 spans="2:28">
      <c r="B17" s="100">
        <v>36.99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6.5" customHeight="1" spans="2:28">
      <c r="B18" s="57"/>
      <c r="C18" s="59" t="s">
        <v>199</v>
      </c>
      <c r="D18" s="59"/>
      <c r="E18" s="59" t="s">
        <v>226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4.25" customHeight="1" spans="2:28">
      <c r="B19" s="60" t="s">
        <v>213</v>
      </c>
      <c r="C19" s="87">
        <v>75</v>
      </c>
      <c r="D19" s="62"/>
      <c r="E19" s="62">
        <f>C19/$C$23</f>
        <v>10.4895104895105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6.5" customHeight="1" spans="2:28">
      <c r="B20" s="64" t="s">
        <v>227</v>
      </c>
      <c r="C20" s="88">
        <f>MAX(C28*C32,C27*C32)</f>
        <v>10.9395</v>
      </c>
      <c r="D20" s="62"/>
      <c r="E20" s="62">
        <f>C20/$C$23</f>
        <v>1.53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6.5" customHeight="1" spans="2:28">
      <c r="B21" s="66" t="s">
        <v>228</v>
      </c>
      <c r="C21" s="88">
        <f>MAX(C27*C33,C28*C33)</f>
        <v>33.813</v>
      </c>
      <c r="D21" s="62"/>
      <c r="E21" s="62">
        <f>C21/$C$23</f>
        <v>4.72909090909091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6.5" customHeight="1" spans="2:28">
      <c r="B22" s="66" t="s">
        <v>229</v>
      </c>
      <c r="C22" s="88">
        <f>MAX(C34*C27,C34*C28)</f>
        <v>39.78</v>
      </c>
      <c r="D22" s="62"/>
      <c r="E22" s="62">
        <f>C22/$C$23</f>
        <v>5.56363636363636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4.25" customHeight="1" spans="2:28">
      <c r="B23" s="67" t="s">
        <v>16</v>
      </c>
      <c r="C23" s="67">
        <v>7.15</v>
      </c>
      <c r="D23" s="69"/>
      <c r="E23" s="57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6.5" customHeight="1" spans="2:28">
      <c r="B24" s="67" t="s">
        <v>230</v>
      </c>
      <c r="C24" s="67">
        <v>25.5</v>
      </c>
      <c r="D24" s="57"/>
      <c r="E24" s="57" t="s">
        <v>231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6.5" customHeight="1" spans="2:28">
      <c r="B25" s="67" t="s">
        <v>232</v>
      </c>
      <c r="C25" s="67">
        <v>19.5</v>
      </c>
      <c r="D25" s="57"/>
      <c r="E25" s="57" t="s">
        <v>231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6.5" customHeight="1" spans="2:28">
      <c r="B26" s="67" t="s">
        <v>233</v>
      </c>
      <c r="C26" s="67">
        <v>12</v>
      </c>
      <c r="D26" s="57"/>
      <c r="E26" s="57" t="s">
        <v>231</v>
      </c>
      <c r="F26" s="54"/>
      <c r="G26" s="54"/>
      <c r="H26" s="54"/>
      <c r="I26" s="54"/>
      <c r="J26" s="54"/>
      <c r="K26" s="34" t="s">
        <v>151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4.25" customHeight="1" spans="2:28">
      <c r="B27" s="60" t="s">
        <v>234</v>
      </c>
      <c r="C27" s="89">
        <v>0.81</v>
      </c>
      <c r="D27" s="57"/>
      <c r="E27" s="57" t="s">
        <v>235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 spans="2:28">
      <c r="B28" s="60" t="s">
        <v>236</v>
      </c>
      <c r="C28" s="89">
        <f>C24*C25*C26/6000</f>
        <v>0.9945</v>
      </c>
      <c r="D28" s="57"/>
      <c r="E28" s="57" t="s">
        <v>235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4.25" customHeight="1" spans="2:28">
      <c r="B29" s="60" t="s">
        <v>59</v>
      </c>
      <c r="C29" s="89">
        <v>0.05</v>
      </c>
      <c r="D29" s="57"/>
      <c r="E29" s="57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6.5" customHeight="1" spans="2:28">
      <c r="B30" s="54"/>
      <c r="C30" s="54"/>
      <c r="D30" s="54"/>
      <c r="E30" s="71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6.5" customHeight="1" spans="2:28">
      <c r="B31" s="72" t="s">
        <v>237</v>
      </c>
      <c r="C31" s="72" t="s">
        <v>238</v>
      </c>
      <c r="D31" s="54"/>
      <c r="E31" s="7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4.25" customHeight="1" spans="2:28">
      <c r="B32" s="73" t="s">
        <v>239</v>
      </c>
      <c r="C32" s="90">
        <v>11</v>
      </c>
      <c r="D32" s="54"/>
      <c r="E32" s="71" t="s">
        <v>240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4.25" customHeight="1" spans="2:28">
      <c r="B33" s="73" t="s">
        <v>241</v>
      </c>
      <c r="C33" s="90">
        <v>34</v>
      </c>
      <c r="D33" s="54"/>
      <c r="E33" s="71" t="s">
        <v>240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6.5" customHeight="1" spans="2:28">
      <c r="B34" s="73" t="s">
        <v>242</v>
      </c>
      <c r="C34" s="90">
        <v>40</v>
      </c>
      <c r="D34" s="54"/>
      <c r="E34" s="71" t="s">
        <v>240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ht="16.5" customHeight="1" spans="2:28">
      <c r="B35" s="54"/>
      <c r="C35" s="71"/>
      <c r="D35" s="54"/>
      <c r="E35" s="71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ht="14.25" customHeight="1" spans="2:28">
      <c r="B36" s="54" t="s">
        <v>243</v>
      </c>
      <c r="C36" s="101">
        <v>6.37</v>
      </c>
      <c r="D36" s="54"/>
      <c r="E36" s="71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ht="16.5" customHeight="1" spans="2:28">
      <c r="B37" s="54"/>
      <c r="C37" s="92"/>
      <c r="D37" s="54"/>
      <c r="E37" s="71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ht="16.5" customHeight="1" spans="2:28">
      <c r="B38" s="54"/>
      <c r="C38" s="92"/>
      <c r="D38" s="54"/>
      <c r="E38" s="71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N5:O14 T5:U14 Z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2:AB38"/>
  <sheetViews>
    <sheetView showGridLines="0" topLeftCell="L1" workbookViewId="0">
      <selection activeCell="Z9" sqref="Z9"/>
    </sheetView>
  </sheetViews>
  <sheetFormatPr defaultColWidth="9" defaultRowHeight="13.5" customHeight="1"/>
  <cols>
    <col min="1" max="1" width="2.125" style="36" customWidth="1"/>
    <col min="2" max="2" width="13.5" style="36" customWidth="1"/>
    <col min="3" max="8" width="8.875" style="36" customWidth="1"/>
    <col min="9" max="9" width="13.625" style="37" customWidth="1"/>
    <col min="10" max="12" width="8.875" style="36" customWidth="1"/>
    <col min="13" max="14" width="8.125" style="36" customWidth="1"/>
    <col min="15" max="15" width="8" style="36" customWidth="1"/>
    <col min="16" max="16" width="7" style="36" customWidth="1"/>
    <col min="17" max="19" width="8.875" style="36" customWidth="1"/>
    <col min="20" max="20" width="8.125" style="36" customWidth="1"/>
    <col min="21" max="21" width="8" style="36" customWidth="1"/>
    <col min="22" max="22" width="8.875" style="36" customWidth="1"/>
    <col min="23" max="23" width="12.875" style="36" customWidth="1"/>
    <col min="24" max="25" width="8.875" style="36" customWidth="1"/>
    <col min="26" max="26" width="8.125" style="36" customWidth="1"/>
    <col min="27" max="27" width="12.875" style="36" customWidth="1"/>
    <col min="28" max="28" width="18.875" style="36" customWidth="1"/>
  </cols>
  <sheetData>
    <row r="2" ht="22.5" customHeight="1" spans="2:28">
      <c r="B2" s="38">
        <v>1</v>
      </c>
      <c r="C2" s="39" t="s">
        <v>208</v>
      </c>
      <c r="D2" s="40"/>
      <c r="E2" s="40"/>
      <c r="F2" s="40"/>
      <c r="G2" s="40"/>
      <c r="H2" s="40"/>
      <c r="I2" s="99"/>
      <c r="J2" s="40"/>
      <c r="K2" s="40"/>
      <c r="L2" s="40"/>
      <c r="M2" s="40"/>
      <c r="N2" s="40"/>
      <c r="O2" s="77"/>
      <c r="P2" s="54"/>
      <c r="Q2" s="82" t="s">
        <v>209</v>
      </c>
      <c r="R2" s="82"/>
      <c r="S2" s="82"/>
      <c r="T2" s="82"/>
      <c r="U2" s="83"/>
      <c r="V2" s="54"/>
      <c r="W2" s="82" t="s">
        <v>244</v>
      </c>
      <c r="X2" s="82"/>
      <c r="Y2" s="82"/>
      <c r="Z2" s="82"/>
      <c r="AA2" s="83"/>
      <c r="AB2" s="54"/>
    </row>
    <row r="3" ht="16.5" customHeight="1" spans="2:28">
      <c r="B3" s="41" t="s">
        <v>211</v>
      </c>
      <c r="C3" s="42" t="s">
        <v>212</v>
      </c>
      <c r="D3" s="43"/>
      <c r="E3" s="43"/>
      <c r="F3" s="43"/>
      <c r="G3" s="43"/>
      <c r="H3" s="43"/>
      <c r="I3" s="43"/>
      <c r="J3" s="43"/>
      <c r="K3" s="43"/>
      <c r="L3" s="78"/>
      <c r="M3" s="78"/>
      <c r="N3" s="79" t="s">
        <v>135</v>
      </c>
      <c r="O3" s="80" t="s">
        <v>74</v>
      </c>
      <c r="P3" s="54"/>
      <c r="Q3" s="43"/>
      <c r="R3" s="43"/>
      <c r="S3" s="43"/>
      <c r="T3" s="79" t="s">
        <v>135</v>
      </c>
      <c r="U3" s="80" t="s">
        <v>74</v>
      </c>
      <c r="V3" s="54"/>
      <c r="W3" s="43"/>
      <c r="X3" s="43"/>
      <c r="Y3" s="43"/>
      <c r="Z3" s="79" t="s">
        <v>135</v>
      </c>
      <c r="AA3" s="80" t="s">
        <v>74</v>
      </c>
      <c r="AB3" s="54"/>
    </row>
    <row r="4" ht="16.5" customHeight="1" spans="2:28">
      <c r="B4" s="41"/>
      <c r="C4" s="44" t="s">
        <v>213</v>
      </c>
      <c r="D4" s="45" t="s">
        <v>214</v>
      </c>
      <c r="E4" s="45" t="s">
        <v>215</v>
      </c>
      <c r="F4" s="45" t="s">
        <v>216</v>
      </c>
      <c r="G4" s="45" t="s">
        <v>217</v>
      </c>
      <c r="H4" s="45" t="s">
        <v>218</v>
      </c>
      <c r="I4" s="44" t="s">
        <v>219</v>
      </c>
      <c r="J4" s="45" t="s">
        <v>220</v>
      </c>
      <c r="K4" s="45" t="s">
        <v>221</v>
      </c>
      <c r="L4" s="45" t="s">
        <v>222</v>
      </c>
      <c r="M4" s="45" t="s">
        <v>223</v>
      </c>
      <c r="N4" s="79"/>
      <c r="O4" s="80"/>
      <c r="P4" s="54"/>
      <c r="Q4" s="45" t="s">
        <v>214</v>
      </c>
      <c r="R4" s="45" t="s">
        <v>215</v>
      </c>
      <c r="S4" s="45" t="s">
        <v>216</v>
      </c>
      <c r="T4" s="79"/>
      <c r="U4" s="80"/>
      <c r="V4" s="54"/>
      <c r="W4" s="84" t="s">
        <v>214</v>
      </c>
      <c r="X4" s="84" t="s">
        <v>224</v>
      </c>
      <c r="Y4" s="84" t="s">
        <v>216</v>
      </c>
      <c r="Z4" s="79"/>
      <c r="AA4" s="80"/>
      <c r="AB4" s="54"/>
    </row>
    <row r="5" s="35" customFormat="1" ht="16.5" customHeight="1" spans="1:28">
      <c r="A5" s="37"/>
      <c r="B5" s="93">
        <f>B6-$B$2</f>
        <v>32.99</v>
      </c>
      <c r="C5" s="93">
        <f t="shared" ref="C5:C14" si="0">$E$19</f>
        <v>8.66050808314088</v>
      </c>
      <c r="D5" s="48">
        <f t="shared" ref="D5:D14" si="1">C5/B5*100%</f>
        <v>0.2625191901528</v>
      </c>
      <c r="E5" s="93">
        <f t="shared" ref="E5:E14" si="2">$E$20</f>
        <v>0.86128752886836</v>
      </c>
      <c r="F5" s="48">
        <f t="shared" ref="F5:F14" si="3">E5/B5*100%</f>
        <v>0.026107533460696</v>
      </c>
      <c r="G5" s="93">
        <f t="shared" ref="G5:G14" si="4">$C$36</f>
        <v>2.82</v>
      </c>
      <c r="H5" s="93">
        <f t="shared" ref="H5:H14" si="5">B5*0.15</f>
        <v>4.9485</v>
      </c>
      <c r="I5" s="93">
        <v>0</v>
      </c>
      <c r="J5" s="93">
        <f t="shared" ref="J5:J14" si="6">B5*0.1</f>
        <v>3.299</v>
      </c>
      <c r="K5" s="93">
        <f t="shared" ref="K5:K14" si="7">B5*0.03</f>
        <v>0.9897</v>
      </c>
      <c r="L5" s="93">
        <f t="shared" ref="L5:L14" si="8">B5*$C$29</f>
        <v>1.6495</v>
      </c>
      <c r="M5" s="93">
        <f t="shared" ref="M5:M14" si="9">(B5-J5)/1.2*0.2</f>
        <v>4.9485</v>
      </c>
      <c r="N5" s="93">
        <f t="shared" ref="N5:N14" si="10">B5-C5-E5-G5-H5-J5-K5-L5-I5-M5</f>
        <v>4.81300438799077</v>
      </c>
      <c r="O5" s="48">
        <f t="shared" ref="O5:O14" si="11">N5/B5</f>
        <v>0.14589282776571</v>
      </c>
      <c r="P5" s="3"/>
      <c r="Q5" s="48">
        <f t="shared" ref="Q5:Q14" si="12">C5/B5*100%</f>
        <v>0.2625191901528</v>
      </c>
      <c r="R5" s="93">
        <f t="shared" ref="R5:R14" si="13">$E$21</f>
        <v>4.19159930715935</v>
      </c>
      <c r="S5" s="48">
        <f t="shared" ref="S5:S14" si="14">R5/B5*100%</f>
        <v>0.127056662842054</v>
      </c>
      <c r="T5" s="93">
        <f>B5-C5-R5-G5-H5-J5-K5-L5-I5-M5</f>
        <v>1.48269260969977</v>
      </c>
      <c r="U5" s="48">
        <f t="shared" ref="U5:U14" si="15">T5/B5</f>
        <v>0.044943698384352</v>
      </c>
      <c r="V5" s="3"/>
      <c r="W5" s="48">
        <f t="shared" ref="W5:W14" si="16">C5/B5*100%</f>
        <v>0.2625191901528</v>
      </c>
      <c r="X5" s="93">
        <f t="shared" ref="X5:X14" si="17">$E$22</f>
        <v>1.95225173210162</v>
      </c>
      <c r="Y5" s="48">
        <f t="shared" ref="Y5:Y14" si="18">X5/B5*100%</f>
        <v>0.0591770758442442</v>
      </c>
      <c r="Z5" s="93">
        <f>B5-C5-X5-G5-H5-J5-K5-L5-I5-M5</f>
        <v>3.72204018475751</v>
      </c>
      <c r="AA5" s="48">
        <f t="shared" ref="AA5:AA14" si="19">Z5/B5</f>
        <v>0.112823285382162</v>
      </c>
      <c r="AB5" s="3"/>
    </row>
    <row r="6" s="35" customFormat="1" ht="16.5" customHeight="1" spans="1:28">
      <c r="A6" s="37"/>
      <c r="B6" s="93">
        <f>B7-$B$2</f>
        <v>33.99</v>
      </c>
      <c r="C6" s="93">
        <f t="shared" si="0"/>
        <v>8.66050808314088</v>
      </c>
      <c r="D6" s="48">
        <f t="shared" si="1"/>
        <v>0.25479576590588</v>
      </c>
      <c r="E6" s="93">
        <f t="shared" si="2"/>
        <v>0.86128752886836</v>
      </c>
      <c r="F6" s="48">
        <f t="shared" si="3"/>
        <v>0.0253394389193398</v>
      </c>
      <c r="G6" s="93">
        <f t="shared" si="4"/>
        <v>2.82</v>
      </c>
      <c r="H6" s="93">
        <f t="shared" si="5"/>
        <v>5.0985</v>
      </c>
      <c r="I6" s="93">
        <v>0</v>
      </c>
      <c r="J6" s="93">
        <f t="shared" si="6"/>
        <v>3.399</v>
      </c>
      <c r="K6" s="93">
        <f t="shared" si="7"/>
        <v>1.0197</v>
      </c>
      <c r="L6" s="93">
        <f t="shared" si="8"/>
        <v>1.6995</v>
      </c>
      <c r="M6" s="93">
        <f t="shared" si="9"/>
        <v>5.0985</v>
      </c>
      <c r="N6" s="93">
        <f t="shared" si="10"/>
        <v>5.33300438799076</v>
      </c>
      <c r="O6" s="48">
        <f t="shared" si="11"/>
        <v>0.156899217063571</v>
      </c>
      <c r="P6" s="3"/>
      <c r="Q6" s="48">
        <f t="shared" si="12"/>
        <v>0.25479576590588</v>
      </c>
      <c r="R6" s="93">
        <f t="shared" si="13"/>
        <v>4.19159930715935</v>
      </c>
      <c r="S6" s="48">
        <f t="shared" si="14"/>
        <v>0.123318602740787</v>
      </c>
      <c r="T6" s="93">
        <f t="shared" ref="T6:T14" si="20">B6-C6-R6-G6-H6-J6-K6-L6-I6-M6</f>
        <v>2.00269260969977</v>
      </c>
      <c r="U6" s="48">
        <f t="shared" si="15"/>
        <v>0.0589200532421232</v>
      </c>
      <c r="V6" s="3"/>
      <c r="W6" s="48">
        <f t="shared" si="16"/>
        <v>0.25479576590588</v>
      </c>
      <c r="X6" s="93">
        <f t="shared" si="17"/>
        <v>1.95225173210162</v>
      </c>
      <c r="Y6" s="48">
        <f t="shared" si="18"/>
        <v>0.0574360615505036</v>
      </c>
      <c r="Z6" s="93">
        <f t="shared" ref="Z6:Z14" si="21">B6-C6-X6-G6-H6-J6-K6-L6-I6-M6</f>
        <v>4.24204018475751</v>
      </c>
      <c r="AA6" s="48">
        <f t="shared" si="19"/>
        <v>0.124802594432407</v>
      </c>
      <c r="AB6" s="3"/>
    </row>
    <row r="7" s="35" customFormat="1" ht="16.5" customHeight="1" spans="1:28">
      <c r="A7" s="37"/>
      <c r="B7" s="93">
        <f>B8-$B$2</f>
        <v>34.99</v>
      </c>
      <c r="C7" s="93">
        <f t="shared" si="0"/>
        <v>8.66050808314088</v>
      </c>
      <c r="D7" s="48">
        <f t="shared" si="1"/>
        <v>0.247513806320117</v>
      </c>
      <c r="E7" s="93">
        <f t="shared" si="2"/>
        <v>0.86128752886836</v>
      </c>
      <c r="F7" s="48">
        <f t="shared" si="3"/>
        <v>0.0246152480385356</v>
      </c>
      <c r="G7" s="93">
        <f t="shared" si="4"/>
        <v>2.82</v>
      </c>
      <c r="H7" s="93">
        <f t="shared" si="5"/>
        <v>5.2485</v>
      </c>
      <c r="I7" s="93">
        <v>0</v>
      </c>
      <c r="J7" s="93">
        <f t="shared" si="6"/>
        <v>3.499</v>
      </c>
      <c r="K7" s="93">
        <f t="shared" si="7"/>
        <v>1.0497</v>
      </c>
      <c r="L7" s="93">
        <f t="shared" si="8"/>
        <v>1.7495</v>
      </c>
      <c r="M7" s="93">
        <f t="shared" si="9"/>
        <v>5.2485</v>
      </c>
      <c r="N7" s="93">
        <f t="shared" si="10"/>
        <v>5.85300438799077</v>
      </c>
      <c r="O7" s="48">
        <f t="shared" si="11"/>
        <v>0.167276490082617</v>
      </c>
      <c r="P7" s="3"/>
      <c r="Q7" s="48">
        <f t="shared" si="12"/>
        <v>0.247513806320117</v>
      </c>
      <c r="R7" s="93">
        <f t="shared" si="13"/>
        <v>4.19159930715935</v>
      </c>
      <c r="S7" s="48">
        <f t="shared" si="14"/>
        <v>0.119794207120873</v>
      </c>
      <c r="T7" s="93">
        <f t="shared" si="20"/>
        <v>2.52269260969977</v>
      </c>
      <c r="U7" s="48">
        <f t="shared" si="15"/>
        <v>0.0720975310002793</v>
      </c>
      <c r="V7" s="3"/>
      <c r="W7" s="48">
        <f t="shared" si="16"/>
        <v>0.247513806320117</v>
      </c>
      <c r="X7" s="93">
        <f t="shared" si="17"/>
        <v>1.95225173210162</v>
      </c>
      <c r="Y7" s="48">
        <f t="shared" si="18"/>
        <v>0.0557945622206807</v>
      </c>
      <c r="Z7" s="93">
        <f t="shared" si="21"/>
        <v>4.76204018475751</v>
      </c>
      <c r="AA7" s="48">
        <f t="shared" si="19"/>
        <v>0.136097175900472</v>
      </c>
      <c r="AB7" s="3"/>
    </row>
    <row r="8" s="35" customFormat="1" ht="16.5" customHeight="1" spans="1:28">
      <c r="A8" s="37"/>
      <c r="B8" s="93">
        <f>B9-$B$2</f>
        <v>35.99</v>
      </c>
      <c r="C8" s="93">
        <f t="shared" si="0"/>
        <v>8.66050808314088</v>
      </c>
      <c r="D8" s="48">
        <f t="shared" si="1"/>
        <v>0.240636512451817</v>
      </c>
      <c r="E8" s="93">
        <f t="shared" si="2"/>
        <v>0.86128752886836</v>
      </c>
      <c r="F8" s="48">
        <f t="shared" si="3"/>
        <v>0.0239313011633332</v>
      </c>
      <c r="G8" s="93">
        <f t="shared" si="4"/>
        <v>2.82</v>
      </c>
      <c r="H8" s="93">
        <f t="shared" si="5"/>
        <v>5.3985</v>
      </c>
      <c r="I8" s="93">
        <v>0</v>
      </c>
      <c r="J8" s="93">
        <f t="shared" si="6"/>
        <v>3.599</v>
      </c>
      <c r="K8" s="93">
        <f t="shared" si="7"/>
        <v>1.0797</v>
      </c>
      <c r="L8" s="93">
        <f t="shared" si="8"/>
        <v>1.7995</v>
      </c>
      <c r="M8" s="93">
        <f t="shared" si="9"/>
        <v>5.3985</v>
      </c>
      <c r="N8" s="93">
        <f t="shared" si="10"/>
        <v>6.37300438799076</v>
      </c>
      <c r="O8" s="48">
        <f t="shared" si="11"/>
        <v>0.17707708774634</v>
      </c>
      <c r="P8" s="3"/>
      <c r="Q8" s="48">
        <f t="shared" si="12"/>
        <v>0.240636512451817</v>
      </c>
      <c r="R8" s="93">
        <f t="shared" si="13"/>
        <v>4.19159930715935</v>
      </c>
      <c r="S8" s="48">
        <f t="shared" si="14"/>
        <v>0.116465665661555</v>
      </c>
      <c r="T8" s="93">
        <f t="shared" si="20"/>
        <v>3.04269260969977</v>
      </c>
      <c r="U8" s="48">
        <f t="shared" si="15"/>
        <v>0.084542723248118</v>
      </c>
      <c r="V8" s="3"/>
      <c r="W8" s="48">
        <f t="shared" si="16"/>
        <v>0.240636512451817</v>
      </c>
      <c r="X8" s="93">
        <f t="shared" si="17"/>
        <v>1.95225173210162</v>
      </c>
      <c r="Y8" s="48">
        <f t="shared" si="18"/>
        <v>0.0542442826368885</v>
      </c>
      <c r="Z8" s="93">
        <f t="shared" si="21"/>
        <v>5.28204018475751</v>
      </c>
      <c r="AA8" s="48">
        <f t="shared" si="19"/>
        <v>0.146764106272784</v>
      </c>
      <c r="AB8" s="3"/>
    </row>
    <row r="9" s="35" customFormat="1" ht="16.5" customHeight="1" spans="1:28">
      <c r="A9" s="37"/>
      <c r="B9" s="94">
        <f>B17</f>
        <v>36.99</v>
      </c>
      <c r="C9" s="94">
        <f t="shared" si="0"/>
        <v>8.66050808314088</v>
      </c>
      <c r="D9" s="51">
        <f t="shared" si="1"/>
        <v>0.234131064696969</v>
      </c>
      <c r="E9" s="94">
        <f t="shared" si="2"/>
        <v>0.86128752886836</v>
      </c>
      <c r="F9" s="51">
        <f t="shared" si="3"/>
        <v>0.0232843343841136</v>
      </c>
      <c r="G9" s="94">
        <f t="shared" si="4"/>
        <v>2.82</v>
      </c>
      <c r="H9" s="94">
        <f t="shared" si="5"/>
        <v>5.5485</v>
      </c>
      <c r="I9" s="94">
        <v>0</v>
      </c>
      <c r="J9" s="94">
        <f t="shared" si="6"/>
        <v>3.699</v>
      </c>
      <c r="K9" s="94">
        <f t="shared" si="7"/>
        <v>1.1097</v>
      </c>
      <c r="L9" s="94">
        <f t="shared" si="8"/>
        <v>1.8495</v>
      </c>
      <c r="M9" s="94">
        <f t="shared" si="9"/>
        <v>5.5485</v>
      </c>
      <c r="N9" s="94">
        <f t="shared" si="10"/>
        <v>6.89300438799076</v>
      </c>
      <c r="O9" s="51">
        <f t="shared" si="11"/>
        <v>0.186347780156549</v>
      </c>
      <c r="P9" s="3"/>
      <c r="Q9" s="51">
        <f t="shared" si="12"/>
        <v>0.234131064696969</v>
      </c>
      <c r="R9" s="94">
        <f t="shared" si="13"/>
        <v>4.19159930715935</v>
      </c>
      <c r="S9" s="51">
        <f t="shared" si="14"/>
        <v>0.113317094002686</v>
      </c>
      <c r="T9" s="94">
        <f t="shared" si="20"/>
        <v>3.56269260969977</v>
      </c>
      <c r="U9" s="51">
        <f t="shared" si="15"/>
        <v>0.096315020537977</v>
      </c>
      <c r="V9" s="3"/>
      <c r="W9" s="51">
        <f t="shared" si="16"/>
        <v>0.234131064696969</v>
      </c>
      <c r="X9" s="94">
        <f t="shared" si="17"/>
        <v>1.95225173210162</v>
      </c>
      <c r="Y9" s="51">
        <f t="shared" si="18"/>
        <v>0.0527778246039907</v>
      </c>
      <c r="Z9" s="94">
        <f t="shared" si="21"/>
        <v>5.80204018475751</v>
      </c>
      <c r="AA9" s="51">
        <f t="shared" si="19"/>
        <v>0.156854289936672</v>
      </c>
      <c r="AB9" s="3"/>
    </row>
    <row r="10" s="35" customFormat="1" ht="16.5" customHeight="1" spans="1:28">
      <c r="A10" s="37"/>
      <c r="B10" s="93">
        <f>B9+$B$2</f>
        <v>37.99</v>
      </c>
      <c r="C10" s="93">
        <f t="shared" si="0"/>
        <v>8.66050808314088</v>
      </c>
      <c r="D10" s="48">
        <f t="shared" si="1"/>
        <v>0.22796809905609</v>
      </c>
      <c r="E10" s="93">
        <f t="shared" si="2"/>
        <v>0.86128752886836</v>
      </c>
      <c r="F10" s="48">
        <f t="shared" si="3"/>
        <v>0.0226714274511282</v>
      </c>
      <c r="G10" s="93">
        <f t="shared" si="4"/>
        <v>2.82</v>
      </c>
      <c r="H10" s="93">
        <f t="shared" si="5"/>
        <v>5.6985</v>
      </c>
      <c r="I10" s="93">
        <v>0</v>
      </c>
      <c r="J10" s="93">
        <f t="shared" si="6"/>
        <v>3.799</v>
      </c>
      <c r="K10" s="93">
        <f t="shared" si="7"/>
        <v>1.1397</v>
      </c>
      <c r="L10" s="93">
        <f t="shared" si="8"/>
        <v>1.8995</v>
      </c>
      <c r="M10" s="93">
        <f t="shared" si="9"/>
        <v>5.6985</v>
      </c>
      <c r="N10" s="93">
        <f t="shared" si="10"/>
        <v>7.41300438799077</v>
      </c>
      <c r="O10" s="48">
        <f t="shared" si="11"/>
        <v>0.195130412950533</v>
      </c>
      <c r="P10" s="3"/>
      <c r="Q10" s="48">
        <f t="shared" si="12"/>
        <v>0.22796809905609</v>
      </c>
      <c r="R10" s="93">
        <f t="shared" si="13"/>
        <v>4.19159930715935</v>
      </c>
      <c r="S10" s="48">
        <f t="shared" si="14"/>
        <v>0.110334280262157</v>
      </c>
      <c r="T10" s="93">
        <f t="shared" si="20"/>
        <v>4.08269260969977</v>
      </c>
      <c r="U10" s="48">
        <f t="shared" si="15"/>
        <v>0.107467560139504</v>
      </c>
      <c r="V10" s="3"/>
      <c r="W10" s="48">
        <f t="shared" si="16"/>
        <v>0.22796809905609</v>
      </c>
      <c r="X10" s="93">
        <f t="shared" si="17"/>
        <v>1.95225173210162</v>
      </c>
      <c r="Y10" s="48">
        <f t="shared" si="18"/>
        <v>0.0513885688892239</v>
      </c>
      <c r="Z10" s="93">
        <f t="shared" si="21"/>
        <v>6.32204018475751</v>
      </c>
      <c r="AA10" s="48">
        <f t="shared" si="19"/>
        <v>0.166413271512438</v>
      </c>
      <c r="AB10" s="3"/>
    </row>
    <row r="11" s="35" customFormat="1" ht="16.5" customHeight="1" spans="1:28">
      <c r="A11" s="37"/>
      <c r="B11" s="93">
        <f>B10+$B$2</f>
        <v>38.99</v>
      </c>
      <c r="C11" s="93">
        <f t="shared" si="0"/>
        <v>8.66050808314088</v>
      </c>
      <c r="D11" s="48">
        <f t="shared" si="1"/>
        <v>0.22212126399438</v>
      </c>
      <c r="E11" s="93">
        <f t="shared" si="2"/>
        <v>0.86128752886836</v>
      </c>
      <c r="F11" s="48">
        <f t="shared" si="3"/>
        <v>0.0220899597042411</v>
      </c>
      <c r="G11" s="93">
        <f t="shared" si="4"/>
        <v>2.82</v>
      </c>
      <c r="H11" s="93">
        <f t="shared" si="5"/>
        <v>5.8485</v>
      </c>
      <c r="I11" s="93">
        <v>0</v>
      </c>
      <c r="J11" s="93">
        <f t="shared" si="6"/>
        <v>3.899</v>
      </c>
      <c r="K11" s="93">
        <f t="shared" si="7"/>
        <v>1.1697</v>
      </c>
      <c r="L11" s="93">
        <f t="shared" si="8"/>
        <v>1.9495</v>
      </c>
      <c r="M11" s="93">
        <f t="shared" si="9"/>
        <v>5.8485</v>
      </c>
      <c r="N11" s="93">
        <f t="shared" si="10"/>
        <v>7.93300438799076</v>
      </c>
      <c r="O11" s="48">
        <f t="shared" si="11"/>
        <v>0.203462538804585</v>
      </c>
      <c r="P11" s="81"/>
      <c r="Q11" s="48">
        <f t="shared" si="12"/>
        <v>0.22212126399438</v>
      </c>
      <c r="R11" s="93">
        <f t="shared" si="13"/>
        <v>4.19159930715935</v>
      </c>
      <c r="S11" s="48">
        <f t="shared" si="14"/>
        <v>0.10750447056064</v>
      </c>
      <c r="T11" s="93">
        <f t="shared" si="20"/>
        <v>4.60269260969977</v>
      </c>
      <c r="U11" s="48">
        <f t="shared" si="15"/>
        <v>0.118048027948186</v>
      </c>
      <c r="V11" s="81"/>
      <c r="W11" s="48">
        <f t="shared" si="16"/>
        <v>0.22212126399438</v>
      </c>
      <c r="X11" s="93">
        <f t="shared" si="17"/>
        <v>1.95225173210162</v>
      </c>
      <c r="Y11" s="48">
        <f t="shared" si="18"/>
        <v>0.0500705753296131</v>
      </c>
      <c r="Z11" s="93">
        <f t="shared" si="21"/>
        <v>6.84204018475751</v>
      </c>
      <c r="AA11" s="48">
        <f t="shared" si="19"/>
        <v>0.175481923179213</v>
      </c>
      <c r="AB11" s="3"/>
    </row>
    <row r="12" s="35" customFormat="1" ht="16.5" customHeight="1" spans="1:28">
      <c r="A12" s="37"/>
      <c r="B12" s="93">
        <f>B11+$B$2</f>
        <v>39.99</v>
      </c>
      <c r="C12" s="93">
        <f t="shared" si="0"/>
        <v>8.66050808314088</v>
      </c>
      <c r="D12" s="48">
        <f t="shared" si="1"/>
        <v>0.216566843789469</v>
      </c>
      <c r="E12" s="93">
        <f t="shared" si="2"/>
        <v>0.86128752886836</v>
      </c>
      <c r="F12" s="48">
        <f t="shared" si="3"/>
        <v>0.0215375726148627</v>
      </c>
      <c r="G12" s="93">
        <f t="shared" si="4"/>
        <v>2.82</v>
      </c>
      <c r="H12" s="93">
        <f t="shared" si="5"/>
        <v>5.9985</v>
      </c>
      <c r="I12" s="93">
        <v>0</v>
      </c>
      <c r="J12" s="93">
        <f t="shared" si="6"/>
        <v>3.999</v>
      </c>
      <c r="K12" s="93">
        <f t="shared" si="7"/>
        <v>1.1997</v>
      </c>
      <c r="L12" s="93">
        <f t="shared" si="8"/>
        <v>1.9995</v>
      </c>
      <c r="M12" s="93">
        <f t="shared" si="9"/>
        <v>5.9985</v>
      </c>
      <c r="N12" s="93">
        <f t="shared" si="10"/>
        <v>8.45300438799076</v>
      </c>
      <c r="O12" s="48">
        <f t="shared" si="11"/>
        <v>0.211377954188316</v>
      </c>
      <c r="P12" s="81"/>
      <c r="Q12" s="48">
        <f t="shared" si="12"/>
        <v>0.216566843789469</v>
      </c>
      <c r="R12" s="93">
        <f t="shared" si="13"/>
        <v>4.19159930715935</v>
      </c>
      <c r="S12" s="48">
        <f t="shared" si="14"/>
        <v>0.104816186725665</v>
      </c>
      <c r="T12" s="93">
        <f t="shared" si="20"/>
        <v>5.12269260969977</v>
      </c>
      <c r="U12" s="48">
        <f t="shared" si="15"/>
        <v>0.128099340077514</v>
      </c>
      <c r="V12" s="81"/>
      <c r="W12" s="48">
        <f t="shared" si="16"/>
        <v>0.216566843789469</v>
      </c>
      <c r="X12" s="93">
        <f t="shared" si="17"/>
        <v>1.95225173210162</v>
      </c>
      <c r="Y12" s="48">
        <f t="shared" si="18"/>
        <v>0.0488184979270222</v>
      </c>
      <c r="Z12" s="93">
        <f t="shared" si="21"/>
        <v>7.36204018475751</v>
      </c>
      <c r="AA12" s="48">
        <f t="shared" si="19"/>
        <v>0.184097028876157</v>
      </c>
      <c r="AB12" s="3"/>
    </row>
    <row r="13" s="35" customFormat="1" ht="16.5" customHeight="1" spans="1:28">
      <c r="A13" s="37"/>
      <c r="B13" s="93">
        <f>B12+$B$2</f>
        <v>40.99</v>
      </c>
      <c r="C13" s="93">
        <f t="shared" si="0"/>
        <v>8.66050808314088</v>
      </c>
      <c r="D13" s="48">
        <f t="shared" si="1"/>
        <v>0.211283437012463</v>
      </c>
      <c r="E13" s="93">
        <f t="shared" si="2"/>
        <v>0.86128752886836</v>
      </c>
      <c r="F13" s="48">
        <f t="shared" si="3"/>
        <v>0.0210121378108895</v>
      </c>
      <c r="G13" s="93">
        <f t="shared" si="4"/>
        <v>2.82</v>
      </c>
      <c r="H13" s="93">
        <f t="shared" si="5"/>
        <v>6.1485</v>
      </c>
      <c r="I13" s="93">
        <v>0</v>
      </c>
      <c r="J13" s="93">
        <f t="shared" si="6"/>
        <v>4.099</v>
      </c>
      <c r="K13" s="93">
        <f t="shared" si="7"/>
        <v>1.2297</v>
      </c>
      <c r="L13" s="93">
        <f t="shared" si="8"/>
        <v>2.0495</v>
      </c>
      <c r="M13" s="93">
        <f t="shared" si="9"/>
        <v>6.1485</v>
      </c>
      <c r="N13" s="93">
        <f t="shared" si="10"/>
        <v>8.97300438799076</v>
      </c>
      <c r="O13" s="48">
        <f t="shared" si="11"/>
        <v>0.218907157550397</v>
      </c>
      <c r="P13" s="81"/>
      <c r="Q13" s="48">
        <f t="shared" si="12"/>
        <v>0.211283437012463</v>
      </c>
      <c r="R13" s="93">
        <f t="shared" si="13"/>
        <v>4.19159930715935</v>
      </c>
      <c r="S13" s="48">
        <f t="shared" si="14"/>
        <v>0.102259070679662</v>
      </c>
      <c r="T13" s="93">
        <f t="shared" si="20"/>
        <v>5.64269260969977</v>
      </c>
      <c r="U13" s="48">
        <f t="shared" si="15"/>
        <v>0.137660224681624</v>
      </c>
      <c r="V13" s="81"/>
      <c r="W13" s="48">
        <f t="shared" si="16"/>
        <v>0.211283437012463</v>
      </c>
      <c r="X13" s="93">
        <f t="shared" si="17"/>
        <v>1.95225173210162</v>
      </c>
      <c r="Y13" s="48">
        <f t="shared" si="18"/>
        <v>0.0476275123713495</v>
      </c>
      <c r="Z13" s="93">
        <f t="shared" si="21"/>
        <v>7.88204018475751</v>
      </c>
      <c r="AA13" s="48">
        <f t="shared" si="19"/>
        <v>0.192291782989937</v>
      </c>
      <c r="AB13" s="3"/>
    </row>
    <row r="14" s="35" customFormat="1" ht="16.5" customHeight="1" spans="1:28">
      <c r="A14" s="37"/>
      <c r="B14" s="93">
        <f>B13+$B$2</f>
        <v>41.99</v>
      </c>
      <c r="C14" s="95">
        <f t="shared" si="0"/>
        <v>8.66050808314088</v>
      </c>
      <c r="D14" s="53">
        <f t="shared" si="1"/>
        <v>0.2062516809512</v>
      </c>
      <c r="E14" s="95">
        <f t="shared" si="2"/>
        <v>0.86128752886836</v>
      </c>
      <c r="F14" s="53">
        <f t="shared" si="3"/>
        <v>0.0205117296705968</v>
      </c>
      <c r="G14" s="95">
        <f t="shared" si="4"/>
        <v>2.82</v>
      </c>
      <c r="H14" s="95">
        <f t="shared" si="5"/>
        <v>6.2985</v>
      </c>
      <c r="I14" s="95">
        <v>0</v>
      </c>
      <c r="J14" s="93">
        <f t="shared" si="6"/>
        <v>4.199</v>
      </c>
      <c r="K14" s="95">
        <f t="shared" si="7"/>
        <v>1.2597</v>
      </c>
      <c r="L14" s="95">
        <f t="shared" si="8"/>
        <v>2.0995</v>
      </c>
      <c r="M14" s="93">
        <f t="shared" si="9"/>
        <v>6.2985</v>
      </c>
      <c r="N14" s="95">
        <f t="shared" si="10"/>
        <v>9.49300438799076</v>
      </c>
      <c r="O14" s="53">
        <f t="shared" si="11"/>
        <v>0.226077742033598</v>
      </c>
      <c r="P14" s="81"/>
      <c r="Q14" s="48">
        <f t="shared" si="12"/>
        <v>0.2062516809512</v>
      </c>
      <c r="R14" s="95">
        <f t="shared" si="13"/>
        <v>4.19159930715935</v>
      </c>
      <c r="S14" s="48">
        <f t="shared" si="14"/>
        <v>0.0998237510635712</v>
      </c>
      <c r="T14" s="93">
        <f t="shared" si="20"/>
        <v>6.16269260969977</v>
      </c>
      <c r="U14" s="48">
        <f t="shared" si="15"/>
        <v>0.146765720640623</v>
      </c>
      <c r="V14" s="81"/>
      <c r="W14" s="48">
        <f t="shared" si="16"/>
        <v>0.2062516809512</v>
      </c>
      <c r="X14" s="95">
        <f t="shared" si="17"/>
        <v>1.95225173210162</v>
      </c>
      <c r="Y14" s="48">
        <f t="shared" si="18"/>
        <v>0.0464932539200194</v>
      </c>
      <c r="Z14" s="93">
        <f t="shared" si="21"/>
        <v>8.40204018475751</v>
      </c>
      <c r="AA14" s="48">
        <f t="shared" si="19"/>
        <v>0.200096217784175</v>
      </c>
      <c r="AB14" s="3"/>
    </row>
    <row r="15" ht="16.5" customHeight="1" spans="2:28">
      <c r="B15" s="54"/>
      <c r="C15" s="54"/>
      <c r="D15" s="54"/>
      <c r="E15" s="54"/>
      <c r="F15" s="54"/>
      <c r="G15" s="54"/>
      <c r="H15" s="54"/>
      <c r="I15" s="3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1" customHeight="1" spans="2:28">
      <c r="B16" s="55" t="s">
        <v>225</v>
      </c>
      <c r="C16" s="54"/>
      <c r="D16" s="54"/>
      <c r="E16" s="54"/>
      <c r="F16" s="54"/>
      <c r="G16" s="54"/>
      <c r="H16" s="54"/>
      <c r="I16" s="3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 spans="2:28">
      <c r="B17" s="96">
        <v>36.99</v>
      </c>
      <c r="C17" s="54"/>
      <c r="D17" s="54"/>
      <c r="E17" s="54"/>
      <c r="F17" s="54"/>
      <c r="G17" s="54"/>
      <c r="H17" s="54"/>
      <c r="I17" s="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6.5" customHeight="1" spans="2:28">
      <c r="B18" s="57"/>
      <c r="C18" s="59" t="s">
        <v>199</v>
      </c>
      <c r="D18" s="59"/>
      <c r="E18" s="59" t="s">
        <v>245</v>
      </c>
      <c r="F18" s="54"/>
      <c r="G18" s="54"/>
      <c r="H18" s="54"/>
      <c r="I18" s="3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4.25" customHeight="1" spans="2:28">
      <c r="B19" s="60" t="s">
        <v>213</v>
      </c>
      <c r="C19" s="87">
        <v>75</v>
      </c>
      <c r="D19" s="62"/>
      <c r="E19" s="97">
        <f>C19/$C$23</f>
        <v>8.66050808314088</v>
      </c>
      <c r="F19" s="54"/>
      <c r="G19" s="54"/>
      <c r="H19" s="54"/>
      <c r="I19" s="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6.5" customHeight="1" spans="2:28">
      <c r="B20" s="64" t="s">
        <v>227</v>
      </c>
      <c r="C20" s="88">
        <f>MAX(C28*C32,C27*C32)</f>
        <v>7.45875</v>
      </c>
      <c r="D20" s="62"/>
      <c r="E20" s="97">
        <f>C20/$C$23</f>
        <v>0.86128752886836</v>
      </c>
      <c r="F20" s="54"/>
      <c r="G20" s="54"/>
      <c r="H20" s="54"/>
      <c r="I20" s="3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6.5" customHeight="1" spans="2:28">
      <c r="B21" s="66" t="s">
        <v>228</v>
      </c>
      <c r="C21" s="88">
        <f>MAX(C27*C33,C28*C33)</f>
        <v>36.29925</v>
      </c>
      <c r="D21" s="62"/>
      <c r="E21" s="97">
        <f>C21/$C$23</f>
        <v>4.19159930715935</v>
      </c>
      <c r="F21" s="54"/>
      <c r="G21" s="54"/>
      <c r="H21" s="54"/>
      <c r="I21" s="3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6.5" customHeight="1" spans="2:28">
      <c r="B22" s="66" t="s">
        <v>229</v>
      </c>
      <c r="C22" s="88">
        <f>MAX(C34*C27,C34*C28)</f>
        <v>16.9065</v>
      </c>
      <c r="D22" s="62"/>
      <c r="E22" s="97">
        <f>C22/$C$23</f>
        <v>1.95225173210162</v>
      </c>
      <c r="F22" s="54"/>
      <c r="G22" s="54"/>
      <c r="H22" s="54"/>
      <c r="I22" s="3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4.25" customHeight="1" spans="2:28">
      <c r="B23" s="67" t="s">
        <v>16</v>
      </c>
      <c r="C23" s="67">
        <v>8.66</v>
      </c>
      <c r="D23" s="69"/>
      <c r="E23" s="57"/>
      <c r="F23" s="54"/>
      <c r="G23" s="54"/>
      <c r="H23" s="54"/>
      <c r="I23" s="3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6.5" customHeight="1" spans="2:28">
      <c r="B24" s="67" t="s">
        <v>230</v>
      </c>
      <c r="C24" s="67">
        <v>25.5</v>
      </c>
      <c r="D24" s="57"/>
      <c r="E24" s="57" t="s">
        <v>231</v>
      </c>
      <c r="F24" s="54"/>
      <c r="G24" s="54"/>
      <c r="H24" s="54"/>
      <c r="I24" s="3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6.5" customHeight="1" spans="2:28">
      <c r="B25" s="67" t="s">
        <v>232</v>
      </c>
      <c r="C25" s="67">
        <v>19.5</v>
      </c>
      <c r="D25" s="57"/>
      <c r="E25" s="57" t="s">
        <v>231</v>
      </c>
      <c r="F25" s="54"/>
      <c r="G25" s="54"/>
      <c r="H25" s="54"/>
      <c r="I25" s="3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6.5" customHeight="1" spans="2:28">
      <c r="B26" s="67" t="s">
        <v>233</v>
      </c>
      <c r="C26" s="67">
        <v>12</v>
      </c>
      <c r="D26" s="57"/>
      <c r="E26" s="57" t="s">
        <v>231</v>
      </c>
      <c r="F26" s="54"/>
      <c r="G26" s="54"/>
      <c r="H26" s="54"/>
      <c r="I26" s="3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4.25" customHeight="1" spans="2:28">
      <c r="B27" s="60" t="s">
        <v>234</v>
      </c>
      <c r="C27" s="89">
        <v>0.81</v>
      </c>
      <c r="D27" s="57"/>
      <c r="E27" s="57" t="s">
        <v>235</v>
      </c>
      <c r="F27" s="54"/>
      <c r="G27" s="54"/>
      <c r="H27" s="54"/>
      <c r="I27" s="3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 spans="2:28">
      <c r="B28" s="60" t="s">
        <v>236</v>
      </c>
      <c r="C28" s="89">
        <f>C24*C25*C26/6000</f>
        <v>0.9945</v>
      </c>
      <c r="D28" s="57"/>
      <c r="E28" s="57" t="s">
        <v>235</v>
      </c>
      <c r="F28" s="54"/>
      <c r="G28" s="54"/>
      <c r="H28" s="54"/>
      <c r="I28" s="3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4.25" customHeight="1" spans="2:28">
      <c r="B29" s="60" t="s">
        <v>59</v>
      </c>
      <c r="C29" s="89">
        <v>0.05</v>
      </c>
      <c r="D29" s="57"/>
      <c r="E29" s="57"/>
      <c r="F29" s="54"/>
      <c r="G29" s="54"/>
      <c r="H29" s="54"/>
      <c r="I29" s="3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6.5" customHeight="1" spans="2:28">
      <c r="B30" s="54"/>
      <c r="C30" s="54"/>
      <c r="D30" s="54"/>
      <c r="E30" s="71"/>
      <c r="F30" s="54"/>
      <c r="G30" s="54"/>
      <c r="H30" s="54"/>
      <c r="I30" s="3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6.5" customHeight="1" spans="2:28">
      <c r="B31" s="72" t="s">
        <v>237</v>
      </c>
      <c r="C31" s="72" t="s">
        <v>238</v>
      </c>
      <c r="D31" s="54"/>
      <c r="E31" s="71"/>
      <c r="F31" s="54"/>
      <c r="G31" s="54"/>
      <c r="H31" s="54"/>
      <c r="I31" s="3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4.25" customHeight="1" spans="2:28">
      <c r="B32" s="73" t="s">
        <v>239</v>
      </c>
      <c r="C32" s="90">
        <v>7.5</v>
      </c>
      <c r="D32" s="54"/>
      <c r="E32" s="71" t="s">
        <v>240</v>
      </c>
      <c r="F32" s="54"/>
      <c r="G32" s="54"/>
      <c r="H32" s="54"/>
      <c r="I32" s="3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4.25" customHeight="1" spans="2:28">
      <c r="B33" s="73" t="s">
        <v>241</v>
      </c>
      <c r="C33" s="90">
        <v>36.5</v>
      </c>
      <c r="D33" s="54"/>
      <c r="E33" s="71" t="s">
        <v>240</v>
      </c>
      <c r="F33" s="54"/>
      <c r="G33" s="54"/>
      <c r="H33" s="54"/>
      <c r="I33" s="3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6.5" customHeight="1" spans="2:28">
      <c r="B34" s="73" t="s">
        <v>246</v>
      </c>
      <c r="C34" s="90">
        <v>17</v>
      </c>
      <c r="D34" s="54"/>
      <c r="E34" s="71" t="s">
        <v>240</v>
      </c>
      <c r="F34" s="54"/>
      <c r="G34" s="54"/>
      <c r="H34" s="54"/>
      <c r="I34" s="3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ht="16.5" customHeight="1" spans="2:28">
      <c r="B35" s="54"/>
      <c r="C35" s="71"/>
      <c r="D35" s="54"/>
      <c r="E35" s="71"/>
      <c r="F35" s="54"/>
      <c r="G35" s="54"/>
      <c r="H35" s="54"/>
      <c r="I35" s="3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ht="14.25" customHeight="1" spans="2:28">
      <c r="B36" s="54" t="s">
        <v>243</v>
      </c>
      <c r="C36" s="98">
        <v>2.82</v>
      </c>
      <c r="D36" s="54"/>
      <c r="E36" s="71"/>
      <c r="F36" s="54"/>
      <c r="G36" s="54"/>
      <c r="H36" s="54"/>
      <c r="I36" s="3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ht="16.5" customHeight="1" spans="2:28">
      <c r="B37" s="54"/>
      <c r="C37" s="92"/>
      <c r="D37" s="54"/>
      <c r="E37" s="71"/>
      <c r="F37" s="54"/>
      <c r="G37" s="54"/>
      <c r="H37" s="54"/>
      <c r="I37" s="3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ht="16.5" customHeight="1" spans="2:28">
      <c r="B38" s="54"/>
      <c r="C38" s="92"/>
      <c r="D38" s="54"/>
      <c r="E38" s="71"/>
      <c r="F38" s="54"/>
      <c r="G38" s="54"/>
      <c r="H38" s="54"/>
      <c r="I38" s="3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O5:O14 U5:U14 AA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2:AB38"/>
  <sheetViews>
    <sheetView showGridLines="0" topLeftCell="L1" workbookViewId="0">
      <selection activeCell="Z9" sqref="Z9"/>
    </sheetView>
  </sheetViews>
  <sheetFormatPr defaultColWidth="9" defaultRowHeight="13.5" customHeight="1"/>
  <cols>
    <col min="1" max="1" width="2.125" style="36" customWidth="1"/>
    <col min="2" max="2" width="13.5" style="36" customWidth="1"/>
    <col min="3" max="8" width="8.875" style="36" customWidth="1"/>
    <col min="9" max="9" width="13.625" style="36" customWidth="1"/>
    <col min="10" max="12" width="8.875" style="36" customWidth="1"/>
    <col min="13" max="14" width="8.125" style="36" customWidth="1"/>
    <col min="15" max="15" width="8" style="36" customWidth="1"/>
    <col min="16" max="16" width="7" style="36" customWidth="1"/>
    <col min="17" max="19" width="8.875" style="36" customWidth="1"/>
    <col min="20" max="20" width="8.125" style="36" customWidth="1"/>
    <col min="21" max="21" width="8" style="36" customWidth="1"/>
    <col min="22" max="22" width="8.875" style="36" customWidth="1"/>
    <col min="23" max="23" width="12.875" style="36" customWidth="1"/>
    <col min="24" max="25" width="8.875" style="36" customWidth="1"/>
    <col min="26" max="26" width="8.125" style="36" customWidth="1"/>
    <col min="27" max="27" width="12.875" style="36" customWidth="1"/>
    <col min="28" max="28" width="18.875" style="36" customWidth="1"/>
  </cols>
  <sheetData>
    <row r="2" ht="22.5" customHeight="1" spans="2:28">
      <c r="B2" s="38">
        <v>1</v>
      </c>
      <c r="C2" s="39" t="s">
        <v>208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77"/>
      <c r="P2" s="54"/>
      <c r="Q2" s="82" t="s">
        <v>209</v>
      </c>
      <c r="R2" s="82"/>
      <c r="S2" s="82"/>
      <c r="T2" s="82"/>
      <c r="U2" s="83"/>
      <c r="V2" s="54"/>
      <c r="W2" s="82" t="s">
        <v>244</v>
      </c>
      <c r="X2" s="82"/>
      <c r="Y2" s="82"/>
      <c r="Z2" s="82"/>
      <c r="AA2" s="83"/>
      <c r="AB2" s="54"/>
    </row>
    <row r="3" ht="16.5" customHeight="1" spans="2:28">
      <c r="B3" s="41" t="s">
        <v>211</v>
      </c>
      <c r="C3" s="42" t="s">
        <v>212</v>
      </c>
      <c r="D3" s="43"/>
      <c r="E3" s="43"/>
      <c r="F3" s="43"/>
      <c r="G3" s="43"/>
      <c r="H3" s="43"/>
      <c r="I3" s="43"/>
      <c r="J3" s="43"/>
      <c r="K3" s="43"/>
      <c r="L3" s="78"/>
      <c r="M3" s="78"/>
      <c r="N3" s="79" t="s">
        <v>135</v>
      </c>
      <c r="O3" s="80" t="s">
        <v>74</v>
      </c>
      <c r="P3" s="54"/>
      <c r="Q3" s="43"/>
      <c r="R3" s="43"/>
      <c r="S3" s="43"/>
      <c r="T3" s="79" t="s">
        <v>135</v>
      </c>
      <c r="U3" s="80" t="s">
        <v>74</v>
      </c>
      <c r="V3" s="54"/>
      <c r="W3" s="43"/>
      <c r="X3" s="43"/>
      <c r="Y3" s="43"/>
      <c r="Z3" s="79" t="s">
        <v>135</v>
      </c>
      <c r="AA3" s="80" t="s">
        <v>74</v>
      </c>
      <c r="AB3" s="54"/>
    </row>
    <row r="4" ht="16.5" customHeight="1" spans="2:28">
      <c r="B4" s="41"/>
      <c r="C4" s="44" t="s">
        <v>213</v>
      </c>
      <c r="D4" s="45" t="s">
        <v>214</v>
      </c>
      <c r="E4" s="45" t="s">
        <v>215</v>
      </c>
      <c r="F4" s="45" t="s">
        <v>216</v>
      </c>
      <c r="G4" s="45" t="s">
        <v>217</v>
      </c>
      <c r="H4" s="45" t="s">
        <v>218</v>
      </c>
      <c r="I4" s="45" t="s">
        <v>219</v>
      </c>
      <c r="J4" s="45" t="s">
        <v>220</v>
      </c>
      <c r="K4" s="45" t="s">
        <v>221</v>
      </c>
      <c r="L4" s="45" t="s">
        <v>222</v>
      </c>
      <c r="M4" s="45" t="s">
        <v>223</v>
      </c>
      <c r="N4" s="79"/>
      <c r="O4" s="80"/>
      <c r="P4" s="54"/>
      <c r="Q4" s="45" t="s">
        <v>214</v>
      </c>
      <c r="R4" s="45" t="s">
        <v>215</v>
      </c>
      <c r="S4" s="45" t="s">
        <v>216</v>
      </c>
      <c r="T4" s="79"/>
      <c r="U4" s="80"/>
      <c r="V4" s="54"/>
      <c r="W4" s="84" t="s">
        <v>214</v>
      </c>
      <c r="X4" s="84" t="s">
        <v>224</v>
      </c>
      <c r="Y4" s="84" t="s">
        <v>216</v>
      </c>
      <c r="Z4" s="79"/>
      <c r="AA4" s="80"/>
      <c r="AB4" s="54"/>
    </row>
    <row r="5" s="35" customFormat="1" ht="16.5" customHeight="1" spans="1:28">
      <c r="A5" s="37"/>
      <c r="B5" s="85">
        <f>B6-$B$2</f>
        <v>32.99</v>
      </c>
      <c r="C5" s="85">
        <f t="shared" ref="C5:C14" si="0">$E$19</f>
        <v>10.0671140939597</v>
      </c>
      <c r="D5" s="48">
        <f t="shared" ref="D5:D14" si="1">C5/B5*100%</f>
        <v>0.305156535130637</v>
      </c>
      <c r="E5" s="85">
        <f t="shared" ref="E5:E14" si="2">$E$20</f>
        <v>2.00234899328859</v>
      </c>
      <c r="F5" s="48">
        <f t="shared" ref="F5:F14" si="3">E5/B5*100%</f>
        <v>0.0606956348374838</v>
      </c>
      <c r="G5" s="85">
        <f t="shared" ref="G5:G14" si="4">$C$36</f>
        <v>3.7</v>
      </c>
      <c r="H5" s="85">
        <f t="shared" ref="H5:H14" si="5">B5*0.15</f>
        <v>4.9485</v>
      </c>
      <c r="I5" s="85">
        <v>0</v>
      </c>
      <c r="J5" s="85">
        <f t="shared" ref="J5:J14" si="6">B5*0.1</f>
        <v>3.299</v>
      </c>
      <c r="K5" s="85">
        <f t="shared" ref="K5:K14" si="7">B5*0.03</f>
        <v>0.9897</v>
      </c>
      <c r="L5" s="85">
        <f t="shared" ref="L5:L14" si="8">B5*$C$29</f>
        <v>1.6495</v>
      </c>
      <c r="M5" s="85">
        <f t="shared" ref="M5:M14" si="9">(B5-J5)/1.19*0.19</f>
        <v>4.74057983193277</v>
      </c>
      <c r="N5" s="85">
        <f t="shared" ref="N5:N14" si="10">B5-C5-E5-G5-H5-J5-K5-L5-I5-M5</f>
        <v>1.59325708081891</v>
      </c>
      <c r="O5" s="48">
        <f t="shared" ref="O5:O14" si="11">N5/B5</f>
        <v>0.0482951524952685</v>
      </c>
      <c r="P5" s="3"/>
      <c r="Q5" s="48">
        <f t="shared" ref="Q5:Q14" si="12">C5/B5*100%</f>
        <v>0.305156535130637</v>
      </c>
      <c r="R5" s="85">
        <f t="shared" ref="R5:R14" si="13">$E$21</f>
        <v>4.4051677852349</v>
      </c>
      <c r="S5" s="48">
        <f t="shared" ref="S5:S14" si="14">R5/B5*100%</f>
        <v>0.133530396642464</v>
      </c>
      <c r="T5" s="85">
        <f>B5-C5-R5-G5-H5-J5-K5-L5-I5-M5</f>
        <v>-0.8095617111274</v>
      </c>
      <c r="U5" s="48">
        <f t="shared" ref="U5:U14" si="15">T5/B5</f>
        <v>-0.024539609309712</v>
      </c>
      <c r="V5" s="3"/>
      <c r="W5" s="48">
        <f t="shared" ref="W5:W14" si="16">C5/B5*100%</f>
        <v>0.305156535130637</v>
      </c>
      <c r="X5" s="85">
        <f t="shared" ref="X5:X14" si="17">$E$22</f>
        <v>2.46956375838926</v>
      </c>
      <c r="Y5" s="48">
        <f t="shared" ref="Y5:Y14" si="18">X5/B5*100%</f>
        <v>0.0748579496328967</v>
      </c>
      <c r="Z5" s="85">
        <f>B5-C5-X5-G5-H5-J5-K5-L5-I5-M5</f>
        <v>1.12604231571824</v>
      </c>
      <c r="AA5" s="48">
        <f t="shared" ref="AA5:AA14" si="19">Z5/B5</f>
        <v>0.0341328376998556</v>
      </c>
      <c r="AB5" s="3"/>
    </row>
    <row r="6" s="35" customFormat="1" ht="16.5" customHeight="1" spans="1:28">
      <c r="A6" s="37"/>
      <c r="B6" s="85">
        <f>B7-$B$2</f>
        <v>33.99</v>
      </c>
      <c r="C6" s="85">
        <f t="shared" si="0"/>
        <v>10.0671140939597</v>
      </c>
      <c r="D6" s="48">
        <f t="shared" si="1"/>
        <v>0.296178702381869</v>
      </c>
      <c r="E6" s="85">
        <f t="shared" si="2"/>
        <v>2.00234899328859</v>
      </c>
      <c r="F6" s="48">
        <f t="shared" si="3"/>
        <v>0.0589099439037538</v>
      </c>
      <c r="G6" s="85">
        <f t="shared" si="4"/>
        <v>3.7</v>
      </c>
      <c r="H6" s="85">
        <f t="shared" si="5"/>
        <v>5.0985</v>
      </c>
      <c r="I6" s="85">
        <v>0</v>
      </c>
      <c r="J6" s="85">
        <f t="shared" si="6"/>
        <v>3.399</v>
      </c>
      <c r="K6" s="85">
        <f t="shared" si="7"/>
        <v>1.0197</v>
      </c>
      <c r="L6" s="85">
        <f t="shared" si="8"/>
        <v>1.6995</v>
      </c>
      <c r="M6" s="85">
        <f t="shared" si="9"/>
        <v>4.88427731092437</v>
      </c>
      <c r="N6" s="85">
        <f t="shared" si="10"/>
        <v>2.11955960182731</v>
      </c>
      <c r="O6" s="48">
        <f t="shared" si="11"/>
        <v>0.0623583289740308</v>
      </c>
      <c r="P6" s="3"/>
      <c r="Q6" s="48">
        <f t="shared" si="12"/>
        <v>0.296178702381869</v>
      </c>
      <c r="R6" s="85">
        <f t="shared" si="13"/>
        <v>4.4051677852349</v>
      </c>
      <c r="S6" s="48">
        <f t="shared" si="14"/>
        <v>0.129601876588258</v>
      </c>
      <c r="T6" s="85">
        <f t="shared" ref="T6:T14" si="20">B6-C6-R6-G6-H6-J6-K6-L6-I6-M6</f>
        <v>-0.283259190119</v>
      </c>
      <c r="U6" s="48">
        <f t="shared" si="15"/>
        <v>-0.00833360371047366</v>
      </c>
      <c r="V6" s="3"/>
      <c r="W6" s="48">
        <f t="shared" si="16"/>
        <v>0.296178702381869</v>
      </c>
      <c r="X6" s="85">
        <f t="shared" si="17"/>
        <v>2.46956375838926</v>
      </c>
      <c r="Y6" s="48">
        <f t="shared" si="18"/>
        <v>0.0726555974812963</v>
      </c>
      <c r="Z6" s="85">
        <f t="shared" ref="Z6:Z14" si="21">B6-C6-X6-G6-H6-J6-K6-L6-I6-M6</f>
        <v>1.65234483672663</v>
      </c>
      <c r="AA6" s="48">
        <f t="shared" si="19"/>
        <v>0.0486126753964882</v>
      </c>
      <c r="AB6" s="3"/>
    </row>
    <row r="7" s="35" customFormat="1" ht="16.5" customHeight="1" spans="1:28">
      <c r="A7" s="37"/>
      <c r="B7" s="85">
        <f>B8-$B$2</f>
        <v>34.99</v>
      </c>
      <c r="C7" s="85">
        <f t="shared" si="0"/>
        <v>10.0671140939597</v>
      </c>
      <c r="D7" s="48">
        <f t="shared" si="1"/>
        <v>0.287714035266068</v>
      </c>
      <c r="E7" s="85">
        <f t="shared" si="2"/>
        <v>2.00234899328859</v>
      </c>
      <c r="F7" s="48">
        <f t="shared" si="3"/>
        <v>0.057226321614421</v>
      </c>
      <c r="G7" s="85">
        <f t="shared" si="4"/>
        <v>3.7</v>
      </c>
      <c r="H7" s="85">
        <f t="shared" si="5"/>
        <v>5.2485</v>
      </c>
      <c r="I7" s="85">
        <v>0</v>
      </c>
      <c r="J7" s="85">
        <f t="shared" si="6"/>
        <v>3.499</v>
      </c>
      <c r="K7" s="85">
        <f t="shared" si="7"/>
        <v>1.0497</v>
      </c>
      <c r="L7" s="85">
        <f t="shared" si="8"/>
        <v>1.7495</v>
      </c>
      <c r="M7" s="85">
        <f t="shared" si="9"/>
        <v>5.02797478991597</v>
      </c>
      <c r="N7" s="85">
        <f t="shared" si="10"/>
        <v>2.64586212283571</v>
      </c>
      <c r="O7" s="48">
        <f t="shared" si="11"/>
        <v>0.0756176656997917</v>
      </c>
      <c r="P7" s="3"/>
      <c r="Q7" s="48">
        <f t="shared" si="12"/>
        <v>0.287714035266068</v>
      </c>
      <c r="R7" s="85">
        <f t="shared" si="13"/>
        <v>4.4051677852349</v>
      </c>
      <c r="S7" s="48">
        <f t="shared" si="14"/>
        <v>0.125897907551726</v>
      </c>
      <c r="T7" s="85">
        <f t="shared" si="20"/>
        <v>0.243043330889407</v>
      </c>
      <c r="U7" s="48">
        <f t="shared" si="15"/>
        <v>0.00694607976248661</v>
      </c>
      <c r="V7" s="3"/>
      <c r="W7" s="48">
        <f t="shared" si="16"/>
        <v>0.287714035266068</v>
      </c>
      <c r="X7" s="85">
        <f t="shared" si="17"/>
        <v>2.46956375838926</v>
      </c>
      <c r="Y7" s="48">
        <f t="shared" si="18"/>
        <v>0.0705791299911192</v>
      </c>
      <c r="Z7" s="85">
        <f t="shared" si="21"/>
        <v>2.17864735773504</v>
      </c>
      <c r="AA7" s="48">
        <f t="shared" si="19"/>
        <v>0.0622648573230935</v>
      </c>
      <c r="AB7" s="3"/>
    </row>
    <row r="8" s="35" customFormat="1" ht="16.5" customHeight="1" spans="1:28">
      <c r="A8" s="37"/>
      <c r="B8" s="85">
        <f>B9-$B$2</f>
        <v>35.99</v>
      </c>
      <c r="C8" s="85">
        <f t="shared" si="0"/>
        <v>10.0671140939597</v>
      </c>
      <c r="D8" s="48">
        <f t="shared" si="1"/>
        <v>0.279719758098353</v>
      </c>
      <c r="E8" s="85">
        <f t="shared" si="2"/>
        <v>2.00234899328859</v>
      </c>
      <c r="F8" s="48">
        <f t="shared" si="3"/>
        <v>0.0556362598857624</v>
      </c>
      <c r="G8" s="85">
        <f t="shared" si="4"/>
        <v>3.7</v>
      </c>
      <c r="H8" s="85">
        <f t="shared" si="5"/>
        <v>5.3985</v>
      </c>
      <c r="I8" s="85">
        <v>0</v>
      </c>
      <c r="J8" s="85">
        <f t="shared" si="6"/>
        <v>3.599</v>
      </c>
      <c r="K8" s="85">
        <f t="shared" si="7"/>
        <v>1.0797</v>
      </c>
      <c r="L8" s="85">
        <f t="shared" si="8"/>
        <v>1.7995</v>
      </c>
      <c r="M8" s="85">
        <f t="shared" si="9"/>
        <v>5.17167226890756</v>
      </c>
      <c r="N8" s="85">
        <f t="shared" si="10"/>
        <v>3.17216464384411</v>
      </c>
      <c r="O8" s="48">
        <f t="shared" si="11"/>
        <v>0.0881401679312063</v>
      </c>
      <c r="P8" s="3"/>
      <c r="Q8" s="48">
        <f t="shared" si="12"/>
        <v>0.279719758098353</v>
      </c>
      <c r="R8" s="85">
        <f t="shared" si="13"/>
        <v>4.4051677852349</v>
      </c>
      <c r="S8" s="48">
        <f t="shared" si="14"/>
        <v>0.122399771748677</v>
      </c>
      <c r="T8" s="85">
        <f t="shared" si="20"/>
        <v>0.76934585189781</v>
      </c>
      <c r="U8" s="48">
        <f t="shared" si="15"/>
        <v>0.0213766560682915</v>
      </c>
      <c r="V8" s="3"/>
      <c r="W8" s="48">
        <f t="shared" si="16"/>
        <v>0.279719758098353</v>
      </c>
      <c r="X8" s="85">
        <f t="shared" si="17"/>
        <v>2.46956375838926</v>
      </c>
      <c r="Y8" s="48">
        <f t="shared" si="18"/>
        <v>0.068618053859107</v>
      </c>
      <c r="Z8" s="85">
        <f t="shared" si="21"/>
        <v>2.70494987874344</v>
      </c>
      <c r="AA8" s="48">
        <f t="shared" si="19"/>
        <v>0.0751583739578617</v>
      </c>
      <c r="AB8" s="3"/>
    </row>
    <row r="9" s="35" customFormat="1" ht="16.5" customHeight="1" spans="1:28">
      <c r="A9" s="37"/>
      <c r="B9" s="86">
        <f>B17</f>
        <v>36.99</v>
      </c>
      <c r="C9" s="86">
        <f t="shared" si="0"/>
        <v>10.0671140939597</v>
      </c>
      <c r="D9" s="51">
        <f t="shared" si="1"/>
        <v>0.272157720842383</v>
      </c>
      <c r="E9" s="86">
        <f t="shared" si="2"/>
        <v>2.00234899328859</v>
      </c>
      <c r="F9" s="51">
        <f t="shared" si="3"/>
        <v>0.0541321706755499</v>
      </c>
      <c r="G9" s="86">
        <f t="shared" si="4"/>
        <v>3.7</v>
      </c>
      <c r="H9" s="86">
        <f t="shared" si="5"/>
        <v>5.5485</v>
      </c>
      <c r="I9" s="86">
        <v>0</v>
      </c>
      <c r="J9" s="86">
        <f t="shared" si="6"/>
        <v>3.699</v>
      </c>
      <c r="K9" s="86">
        <f t="shared" si="7"/>
        <v>1.1097</v>
      </c>
      <c r="L9" s="86">
        <f t="shared" si="8"/>
        <v>1.8495</v>
      </c>
      <c r="M9" s="86">
        <f t="shared" si="9"/>
        <v>5.31536974789916</v>
      </c>
      <c r="N9" s="86">
        <f t="shared" si="10"/>
        <v>3.69846716485252</v>
      </c>
      <c r="O9" s="51">
        <f t="shared" si="11"/>
        <v>0.0999855951568672</v>
      </c>
      <c r="P9" s="3"/>
      <c r="Q9" s="51">
        <f t="shared" si="12"/>
        <v>0.272157720842383</v>
      </c>
      <c r="R9" s="86">
        <f t="shared" si="13"/>
        <v>4.4051677852349</v>
      </c>
      <c r="S9" s="51">
        <f t="shared" si="14"/>
        <v>0.11909077548621</v>
      </c>
      <c r="T9" s="86">
        <f t="shared" si="20"/>
        <v>1.29564837290621</v>
      </c>
      <c r="U9" s="51">
        <f t="shared" si="15"/>
        <v>0.0350269903462074</v>
      </c>
      <c r="V9" s="3"/>
      <c r="W9" s="51">
        <f t="shared" si="16"/>
        <v>0.272157720842383</v>
      </c>
      <c r="X9" s="86">
        <f t="shared" si="17"/>
        <v>2.46956375838926</v>
      </c>
      <c r="Y9" s="51">
        <f t="shared" si="18"/>
        <v>0.0667630104998449</v>
      </c>
      <c r="Z9" s="86">
        <f t="shared" si="21"/>
        <v>3.23125239975185</v>
      </c>
      <c r="AA9" s="51">
        <f t="shared" si="19"/>
        <v>0.0873547553325722</v>
      </c>
      <c r="AB9" s="3"/>
    </row>
    <row r="10" s="35" customFormat="1" ht="16.5" customHeight="1" spans="1:28">
      <c r="A10" s="37"/>
      <c r="B10" s="85">
        <f>B9+$B$2</f>
        <v>37.99</v>
      </c>
      <c r="C10" s="85">
        <f t="shared" si="0"/>
        <v>10.0671140939597</v>
      </c>
      <c r="D10" s="48">
        <f t="shared" si="1"/>
        <v>0.26499379031218</v>
      </c>
      <c r="E10" s="85">
        <f t="shared" si="2"/>
        <v>2.00234899328859</v>
      </c>
      <c r="F10" s="48">
        <f t="shared" si="3"/>
        <v>0.0527072648930927</v>
      </c>
      <c r="G10" s="85">
        <f t="shared" si="4"/>
        <v>3.7</v>
      </c>
      <c r="H10" s="85">
        <f t="shared" si="5"/>
        <v>5.6985</v>
      </c>
      <c r="I10" s="85">
        <v>0</v>
      </c>
      <c r="J10" s="85">
        <f t="shared" si="6"/>
        <v>3.799</v>
      </c>
      <c r="K10" s="85">
        <f t="shared" si="7"/>
        <v>1.1397</v>
      </c>
      <c r="L10" s="85">
        <f t="shared" si="8"/>
        <v>1.8995</v>
      </c>
      <c r="M10" s="85">
        <f t="shared" si="9"/>
        <v>5.45906722689076</v>
      </c>
      <c r="N10" s="85">
        <f t="shared" si="10"/>
        <v>4.22476968586092</v>
      </c>
      <c r="O10" s="48">
        <f t="shared" si="11"/>
        <v>0.11120741473706</v>
      </c>
      <c r="P10" s="3"/>
      <c r="Q10" s="48">
        <f t="shared" si="12"/>
        <v>0.26499379031218</v>
      </c>
      <c r="R10" s="85">
        <f t="shared" si="13"/>
        <v>4.4051677852349</v>
      </c>
      <c r="S10" s="48">
        <f t="shared" si="14"/>
        <v>0.115955982764804</v>
      </c>
      <c r="T10" s="85">
        <f t="shared" si="20"/>
        <v>1.82195089391462</v>
      </c>
      <c r="U10" s="48">
        <f t="shared" si="15"/>
        <v>0.0479586968653493</v>
      </c>
      <c r="V10" s="3"/>
      <c r="W10" s="48">
        <f t="shared" si="16"/>
        <v>0.26499379031218</v>
      </c>
      <c r="X10" s="85">
        <f t="shared" si="17"/>
        <v>2.46956375838926</v>
      </c>
      <c r="Y10" s="48">
        <f t="shared" si="18"/>
        <v>0.065005626701481</v>
      </c>
      <c r="Z10" s="85">
        <f t="shared" si="21"/>
        <v>3.75755492076025</v>
      </c>
      <c r="AA10" s="48">
        <f t="shared" si="19"/>
        <v>0.0989090529286721</v>
      </c>
      <c r="AB10" s="3"/>
    </row>
    <row r="11" s="35" customFormat="1" ht="16.5" customHeight="1" spans="1:28">
      <c r="A11" s="37"/>
      <c r="B11" s="85">
        <f>B10+$B$2</f>
        <v>38.99</v>
      </c>
      <c r="C11" s="85">
        <f t="shared" si="0"/>
        <v>10.0671140939597</v>
      </c>
      <c r="D11" s="48">
        <f t="shared" si="1"/>
        <v>0.258197335059239</v>
      </c>
      <c r="E11" s="85">
        <f t="shared" si="2"/>
        <v>2.00234899328859</v>
      </c>
      <c r="F11" s="48">
        <f t="shared" si="3"/>
        <v>0.0513554499432826</v>
      </c>
      <c r="G11" s="85">
        <f t="shared" si="4"/>
        <v>3.7</v>
      </c>
      <c r="H11" s="85">
        <f t="shared" si="5"/>
        <v>5.8485</v>
      </c>
      <c r="I11" s="85">
        <v>0</v>
      </c>
      <c r="J11" s="85">
        <f t="shared" si="6"/>
        <v>3.899</v>
      </c>
      <c r="K11" s="85">
        <f t="shared" si="7"/>
        <v>1.1697</v>
      </c>
      <c r="L11" s="85">
        <f t="shared" si="8"/>
        <v>1.9495</v>
      </c>
      <c r="M11" s="85">
        <f t="shared" si="9"/>
        <v>5.60276470588235</v>
      </c>
      <c r="N11" s="85">
        <f t="shared" si="10"/>
        <v>4.75107220686932</v>
      </c>
      <c r="O11" s="48">
        <f t="shared" si="11"/>
        <v>0.121853608793776</v>
      </c>
      <c r="P11" s="81"/>
      <c r="Q11" s="48">
        <f t="shared" si="12"/>
        <v>0.258197335059239</v>
      </c>
      <c r="R11" s="85">
        <f t="shared" si="13"/>
        <v>4.4051677852349</v>
      </c>
      <c r="S11" s="48">
        <f t="shared" si="14"/>
        <v>0.112981989875222</v>
      </c>
      <c r="T11" s="85">
        <f t="shared" si="20"/>
        <v>2.34825341492302</v>
      </c>
      <c r="U11" s="48">
        <f t="shared" si="15"/>
        <v>0.0602270688618368</v>
      </c>
      <c r="V11" s="81"/>
      <c r="W11" s="48">
        <f t="shared" si="16"/>
        <v>0.258197335059239</v>
      </c>
      <c r="X11" s="85">
        <f t="shared" si="17"/>
        <v>2.46956375838926</v>
      </c>
      <c r="Y11" s="48">
        <f t="shared" si="18"/>
        <v>0.0633383882633819</v>
      </c>
      <c r="Z11" s="85">
        <f t="shared" si="21"/>
        <v>4.28385744176865</v>
      </c>
      <c r="AA11" s="48">
        <f t="shared" si="19"/>
        <v>0.109870670473677</v>
      </c>
      <c r="AB11" s="3"/>
    </row>
    <row r="12" s="35" customFormat="1" ht="16.5" customHeight="1" spans="1:28">
      <c r="A12" s="37"/>
      <c r="B12" s="85">
        <f>B11+$B$2</f>
        <v>39.99</v>
      </c>
      <c r="C12" s="85">
        <f t="shared" si="0"/>
        <v>10.0671140939597</v>
      </c>
      <c r="D12" s="48">
        <f t="shared" si="1"/>
        <v>0.25174078754588</v>
      </c>
      <c r="E12" s="85">
        <f t="shared" si="2"/>
        <v>2.00234899328859</v>
      </c>
      <c r="F12" s="48">
        <f t="shared" si="3"/>
        <v>0.0500712426428755</v>
      </c>
      <c r="G12" s="85">
        <f t="shared" si="4"/>
        <v>3.7</v>
      </c>
      <c r="H12" s="85">
        <f t="shared" si="5"/>
        <v>5.9985</v>
      </c>
      <c r="I12" s="85">
        <v>0</v>
      </c>
      <c r="J12" s="85">
        <f t="shared" si="6"/>
        <v>3.999</v>
      </c>
      <c r="K12" s="85">
        <f t="shared" si="7"/>
        <v>1.1997</v>
      </c>
      <c r="L12" s="85">
        <f t="shared" si="8"/>
        <v>1.9995</v>
      </c>
      <c r="M12" s="85">
        <f t="shared" si="9"/>
        <v>5.74646218487395</v>
      </c>
      <c r="N12" s="85">
        <f t="shared" si="10"/>
        <v>5.27737472787773</v>
      </c>
      <c r="O12" s="48">
        <f t="shared" si="11"/>
        <v>0.131967360036952</v>
      </c>
      <c r="P12" s="81"/>
      <c r="Q12" s="48">
        <f t="shared" si="12"/>
        <v>0.25174078754588</v>
      </c>
      <c r="R12" s="85">
        <f t="shared" si="13"/>
        <v>4.4051677852349</v>
      </c>
      <c r="S12" s="48">
        <f t="shared" si="14"/>
        <v>0.110156733814326</v>
      </c>
      <c r="T12" s="85">
        <f t="shared" si="20"/>
        <v>2.87455593593142</v>
      </c>
      <c r="U12" s="48">
        <f t="shared" si="15"/>
        <v>0.071881868865502</v>
      </c>
      <c r="V12" s="81"/>
      <c r="W12" s="48">
        <f t="shared" si="16"/>
        <v>0.25174078754588</v>
      </c>
      <c r="X12" s="85">
        <f t="shared" si="17"/>
        <v>2.46956375838926</v>
      </c>
      <c r="Y12" s="48">
        <f t="shared" si="18"/>
        <v>0.0617545325928798</v>
      </c>
      <c r="Z12" s="85">
        <f t="shared" si="21"/>
        <v>4.81015996277706</v>
      </c>
      <c r="AA12" s="48">
        <f t="shared" si="19"/>
        <v>0.120284070086948</v>
      </c>
      <c r="AB12" s="3"/>
    </row>
    <row r="13" s="35" customFormat="1" ht="16.5" customHeight="1" spans="1:28">
      <c r="A13" s="37"/>
      <c r="B13" s="85">
        <f>B12+$B$2</f>
        <v>40.99</v>
      </c>
      <c r="C13" s="85">
        <f t="shared" si="0"/>
        <v>10.0671140939597</v>
      </c>
      <c r="D13" s="48">
        <f t="shared" si="1"/>
        <v>0.245599270406434</v>
      </c>
      <c r="E13" s="85">
        <f t="shared" si="2"/>
        <v>2.00234899328859</v>
      </c>
      <c r="F13" s="48">
        <f t="shared" si="3"/>
        <v>0.0488496948838397</v>
      </c>
      <c r="G13" s="85">
        <f t="shared" si="4"/>
        <v>3.7</v>
      </c>
      <c r="H13" s="85">
        <f t="shared" si="5"/>
        <v>6.1485</v>
      </c>
      <c r="I13" s="85">
        <v>0</v>
      </c>
      <c r="J13" s="85">
        <f t="shared" si="6"/>
        <v>4.099</v>
      </c>
      <c r="K13" s="85">
        <f t="shared" si="7"/>
        <v>1.2297</v>
      </c>
      <c r="L13" s="85">
        <f t="shared" si="8"/>
        <v>2.0495</v>
      </c>
      <c r="M13" s="85">
        <f t="shared" si="9"/>
        <v>5.89015966386555</v>
      </c>
      <c r="N13" s="85">
        <f t="shared" si="10"/>
        <v>5.80367724888613</v>
      </c>
      <c r="O13" s="48">
        <f t="shared" si="11"/>
        <v>0.141587637201418</v>
      </c>
      <c r="P13" s="81"/>
      <c r="Q13" s="48">
        <f t="shared" si="12"/>
        <v>0.245599270406434</v>
      </c>
      <c r="R13" s="85">
        <f t="shared" si="13"/>
        <v>4.4051677852349</v>
      </c>
      <c r="S13" s="48">
        <f t="shared" si="14"/>
        <v>0.107469328744447</v>
      </c>
      <c r="T13" s="85">
        <f t="shared" si="20"/>
        <v>3.40085845693983</v>
      </c>
      <c r="U13" s="48">
        <f t="shared" si="15"/>
        <v>0.0829680033408106</v>
      </c>
      <c r="V13" s="81"/>
      <c r="W13" s="48">
        <f t="shared" si="16"/>
        <v>0.245599270406434</v>
      </c>
      <c r="X13" s="85">
        <f t="shared" si="17"/>
        <v>2.46956375838926</v>
      </c>
      <c r="Y13" s="48">
        <f t="shared" si="18"/>
        <v>0.0602479570234023</v>
      </c>
      <c r="Z13" s="85">
        <f t="shared" si="21"/>
        <v>5.33646248378546</v>
      </c>
      <c r="AA13" s="48">
        <f t="shared" si="19"/>
        <v>0.130189375061856</v>
      </c>
      <c r="AB13" s="3"/>
    </row>
    <row r="14" s="35" customFormat="1" ht="16.5" customHeight="1" spans="1:28">
      <c r="A14" s="37"/>
      <c r="B14" s="85">
        <f>B13+$B$2</f>
        <v>41.99</v>
      </c>
      <c r="C14" s="85">
        <f t="shared" si="0"/>
        <v>10.0671140939597</v>
      </c>
      <c r="D14" s="53">
        <f t="shared" si="1"/>
        <v>0.239750276112401</v>
      </c>
      <c r="E14" s="85">
        <f t="shared" si="2"/>
        <v>2.00234899328859</v>
      </c>
      <c r="F14" s="53">
        <f t="shared" si="3"/>
        <v>0.0476863299187566</v>
      </c>
      <c r="G14" s="85">
        <f t="shared" si="4"/>
        <v>3.7</v>
      </c>
      <c r="H14" s="85">
        <f t="shared" si="5"/>
        <v>6.2985</v>
      </c>
      <c r="I14" s="85">
        <v>0</v>
      </c>
      <c r="J14" s="85">
        <f t="shared" si="6"/>
        <v>4.199</v>
      </c>
      <c r="K14" s="85">
        <f t="shared" si="7"/>
        <v>1.2597</v>
      </c>
      <c r="L14" s="85">
        <f t="shared" si="8"/>
        <v>2.0995</v>
      </c>
      <c r="M14" s="85">
        <f t="shared" si="9"/>
        <v>6.03385714285714</v>
      </c>
      <c r="N14" s="85">
        <f t="shared" si="10"/>
        <v>6.32997976989453</v>
      </c>
      <c r="O14" s="53">
        <f t="shared" si="11"/>
        <v>0.150749696830067</v>
      </c>
      <c r="P14" s="81"/>
      <c r="Q14" s="48">
        <f t="shared" si="12"/>
        <v>0.239750276112401</v>
      </c>
      <c r="R14" s="85">
        <f t="shared" si="13"/>
        <v>4.4051677852349</v>
      </c>
      <c r="S14" s="48">
        <f t="shared" si="14"/>
        <v>0.104909925821265</v>
      </c>
      <c r="T14" s="85">
        <f t="shared" si="20"/>
        <v>3.92716097794823</v>
      </c>
      <c r="U14" s="48">
        <f t="shared" si="15"/>
        <v>0.0935261009275596</v>
      </c>
      <c r="V14" s="81"/>
      <c r="W14" s="48">
        <f t="shared" si="16"/>
        <v>0.239750276112401</v>
      </c>
      <c r="X14" s="85">
        <f t="shared" si="17"/>
        <v>2.46956375838926</v>
      </c>
      <c r="Y14" s="48">
        <f t="shared" si="18"/>
        <v>0.0588131402331332</v>
      </c>
      <c r="Z14" s="85">
        <f t="shared" si="21"/>
        <v>5.86276500479386</v>
      </c>
      <c r="AA14" s="48">
        <f t="shared" si="19"/>
        <v>0.139622886515691</v>
      </c>
      <c r="AB14" s="3"/>
    </row>
    <row r="15" ht="16.5" customHeight="1" spans="2:28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1" customHeight="1" spans="2:28">
      <c r="B16" s="55" t="s">
        <v>225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 spans="2:28">
      <c r="B17" s="56">
        <v>36.99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6.5" customHeight="1" spans="2:28">
      <c r="B18" s="57"/>
      <c r="C18" s="59" t="s">
        <v>199</v>
      </c>
      <c r="D18" s="59"/>
      <c r="E18" s="59" t="s">
        <v>247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4.25" customHeight="1" spans="2:28">
      <c r="B19" s="60" t="s">
        <v>213</v>
      </c>
      <c r="C19" s="87">
        <v>75</v>
      </c>
      <c r="D19" s="62"/>
      <c r="E19" s="63">
        <f>C19/$C$23</f>
        <v>10.0671140939597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6.5" customHeight="1" spans="2:28">
      <c r="B20" s="64" t="s">
        <v>227</v>
      </c>
      <c r="C20" s="88">
        <f>MAX(C28*C32,C27*C32)</f>
        <v>14.9175</v>
      </c>
      <c r="D20" s="62"/>
      <c r="E20" s="63">
        <f>C20/$C$23</f>
        <v>2.00234899328859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6.5" customHeight="1" spans="2:28">
      <c r="B21" s="66" t="s">
        <v>228</v>
      </c>
      <c r="C21" s="88">
        <f>MAX(C27*C33,C28*C33)</f>
        <v>32.8185</v>
      </c>
      <c r="D21" s="62"/>
      <c r="E21" s="63">
        <f>C21/$C$23</f>
        <v>4.4051677852349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6.5" customHeight="1" spans="2:28">
      <c r="B22" s="66" t="s">
        <v>229</v>
      </c>
      <c r="C22" s="88">
        <f>MAX(C34*C27,C34*C28)</f>
        <v>18.39825</v>
      </c>
      <c r="D22" s="62"/>
      <c r="E22" s="63">
        <f>C22/$C$23</f>
        <v>2.46956375838926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4.25" customHeight="1" spans="2:28">
      <c r="B23" s="67" t="s">
        <v>16</v>
      </c>
      <c r="C23" s="67">
        <v>7.45</v>
      </c>
      <c r="D23" s="69"/>
      <c r="E23" s="57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6.5" customHeight="1" spans="2:28">
      <c r="B24" s="67" t="s">
        <v>230</v>
      </c>
      <c r="C24" s="67">
        <v>25.5</v>
      </c>
      <c r="D24" s="57"/>
      <c r="E24" s="57" t="s">
        <v>231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6.5" customHeight="1" spans="2:28">
      <c r="B25" s="67" t="s">
        <v>232</v>
      </c>
      <c r="C25" s="67">
        <v>19.5</v>
      </c>
      <c r="D25" s="57"/>
      <c r="E25" s="57" t="s">
        <v>231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6.5" customHeight="1" spans="2:28">
      <c r="B26" s="67" t="s">
        <v>233</v>
      </c>
      <c r="C26" s="67">
        <v>12</v>
      </c>
      <c r="D26" s="57"/>
      <c r="E26" s="57" t="s">
        <v>231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4.25" customHeight="1" spans="2:28">
      <c r="B27" s="60" t="s">
        <v>234</v>
      </c>
      <c r="C27" s="89">
        <v>0.81</v>
      </c>
      <c r="D27" s="57"/>
      <c r="E27" s="57" t="s">
        <v>235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 spans="2:28">
      <c r="B28" s="60" t="s">
        <v>236</v>
      </c>
      <c r="C28" s="89">
        <f>C24*C25*C26/6000</f>
        <v>0.9945</v>
      </c>
      <c r="D28" s="57"/>
      <c r="E28" s="57" t="s">
        <v>235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4.25" customHeight="1" spans="2:28">
      <c r="B29" s="60" t="s">
        <v>59</v>
      </c>
      <c r="C29" s="89">
        <v>0.05</v>
      </c>
      <c r="D29" s="57"/>
      <c r="E29" s="57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6.5" customHeight="1" spans="2:28">
      <c r="B30" s="54"/>
      <c r="C30" s="54"/>
      <c r="D30" s="54"/>
      <c r="E30" s="71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6.5" customHeight="1" spans="2:28">
      <c r="B31" s="72" t="s">
        <v>237</v>
      </c>
      <c r="C31" s="72" t="s">
        <v>238</v>
      </c>
      <c r="D31" s="54"/>
      <c r="E31" s="7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4.25" customHeight="1" spans="2:28">
      <c r="B32" s="73" t="s">
        <v>239</v>
      </c>
      <c r="C32" s="90">
        <v>15</v>
      </c>
      <c r="D32" s="54"/>
      <c r="E32" s="71" t="s">
        <v>240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4.25" customHeight="1" spans="2:28">
      <c r="B33" s="73" t="s">
        <v>241</v>
      </c>
      <c r="C33" s="90">
        <v>33</v>
      </c>
      <c r="D33" s="54"/>
      <c r="E33" s="71" t="s">
        <v>240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6.5" customHeight="1" spans="2:28">
      <c r="B34" s="73" t="s">
        <v>246</v>
      </c>
      <c r="C34" s="90">
        <v>18.5</v>
      </c>
      <c r="D34" s="54"/>
      <c r="E34" s="71" t="s">
        <v>240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ht="16.5" customHeight="1" spans="2:28">
      <c r="B35" s="54"/>
      <c r="C35" s="71"/>
      <c r="D35" s="54"/>
      <c r="E35" s="71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ht="14.25" customHeight="1" spans="2:28">
      <c r="B36" s="54" t="s">
        <v>243</v>
      </c>
      <c r="C36" s="91">
        <v>3.7</v>
      </c>
      <c r="D36" s="54"/>
      <c r="E36" s="71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ht="16.5" customHeight="1" spans="2:28">
      <c r="B37" s="54"/>
      <c r="C37" s="92"/>
      <c r="D37" s="54"/>
      <c r="E37" s="71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ht="16.5" customHeight="1" spans="2:28">
      <c r="B38" s="54"/>
      <c r="C38" s="92"/>
      <c r="D38" s="54"/>
      <c r="E38" s="71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O5:O14 U5:U14 AA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2:AB38"/>
  <sheetViews>
    <sheetView showGridLines="0" topLeftCell="L1" workbookViewId="0">
      <selection activeCell="Z9" sqref="Z9"/>
    </sheetView>
  </sheetViews>
  <sheetFormatPr defaultColWidth="9" defaultRowHeight="13.5" customHeight="1"/>
  <cols>
    <col min="1" max="1" width="2.125" style="36" customWidth="1"/>
    <col min="2" max="2" width="13.5" style="36" customWidth="1"/>
    <col min="3" max="3" width="8.875" style="37" customWidth="1"/>
    <col min="4" max="8" width="8.875" style="36" customWidth="1"/>
    <col min="9" max="9" width="13.625" style="36" customWidth="1"/>
    <col min="10" max="12" width="8.875" style="36" customWidth="1"/>
    <col min="13" max="14" width="8.125" style="36" customWidth="1"/>
    <col min="15" max="15" width="8" style="36" customWidth="1"/>
    <col min="16" max="16" width="7" style="36" customWidth="1"/>
    <col min="17" max="19" width="8.875" style="36" customWidth="1"/>
    <col min="20" max="20" width="8.125" style="36" customWidth="1"/>
    <col min="21" max="21" width="8" style="36" customWidth="1"/>
    <col min="22" max="22" width="8.875" style="36" customWidth="1"/>
    <col min="23" max="23" width="12.875" style="36" customWidth="1"/>
    <col min="24" max="25" width="8.875" style="36" customWidth="1"/>
    <col min="26" max="26" width="8.125" style="36" customWidth="1"/>
    <col min="27" max="27" width="12.875" style="36" customWidth="1"/>
    <col min="28" max="28" width="18.875" style="36" customWidth="1"/>
  </cols>
  <sheetData>
    <row r="2" ht="22.5" customHeight="1" spans="2:28">
      <c r="B2" s="38">
        <v>1</v>
      </c>
      <c r="C2" s="39" t="s">
        <v>208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77"/>
      <c r="P2" s="54"/>
      <c r="Q2" s="82" t="s">
        <v>209</v>
      </c>
      <c r="R2" s="82"/>
      <c r="S2" s="82"/>
      <c r="T2" s="82"/>
      <c r="U2" s="83"/>
      <c r="V2" s="54"/>
      <c r="W2" s="82" t="s">
        <v>244</v>
      </c>
      <c r="X2" s="82"/>
      <c r="Y2" s="82"/>
      <c r="Z2" s="82"/>
      <c r="AA2" s="83"/>
      <c r="AB2" s="54"/>
    </row>
    <row r="3" ht="16.5" customHeight="1" spans="2:28">
      <c r="B3" s="41" t="s">
        <v>211</v>
      </c>
      <c r="C3" s="42" t="s">
        <v>212</v>
      </c>
      <c r="D3" s="43"/>
      <c r="E3" s="43"/>
      <c r="F3" s="43"/>
      <c r="G3" s="43"/>
      <c r="H3" s="43"/>
      <c r="I3" s="43"/>
      <c r="J3" s="43"/>
      <c r="K3" s="43"/>
      <c r="L3" s="78"/>
      <c r="M3" s="78"/>
      <c r="N3" s="79" t="s">
        <v>135</v>
      </c>
      <c r="O3" s="80" t="s">
        <v>74</v>
      </c>
      <c r="P3" s="54"/>
      <c r="Q3" s="43"/>
      <c r="R3" s="43"/>
      <c r="S3" s="43"/>
      <c r="T3" s="79" t="s">
        <v>135</v>
      </c>
      <c r="U3" s="80" t="s">
        <v>74</v>
      </c>
      <c r="V3" s="54"/>
      <c r="W3" s="43"/>
      <c r="X3" s="43"/>
      <c r="Y3" s="43"/>
      <c r="Z3" s="79" t="s">
        <v>135</v>
      </c>
      <c r="AA3" s="80" t="s">
        <v>74</v>
      </c>
      <c r="AB3" s="54"/>
    </row>
    <row r="4" ht="16.5" customHeight="1" spans="2:28">
      <c r="B4" s="41"/>
      <c r="C4" s="44" t="s">
        <v>213</v>
      </c>
      <c r="D4" s="45" t="s">
        <v>214</v>
      </c>
      <c r="E4" s="45" t="s">
        <v>215</v>
      </c>
      <c r="F4" s="45" t="s">
        <v>216</v>
      </c>
      <c r="G4" s="45" t="s">
        <v>217</v>
      </c>
      <c r="H4" s="45" t="s">
        <v>218</v>
      </c>
      <c r="I4" s="45" t="s">
        <v>219</v>
      </c>
      <c r="J4" s="45" t="s">
        <v>220</v>
      </c>
      <c r="K4" s="45" t="s">
        <v>221</v>
      </c>
      <c r="L4" s="45" t="s">
        <v>222</v>
      </c>
      <c r="M4" s="45" t="s">
        <v>223</v>
      </c>
      <c r="N4" s="79"/>
      <c r="O4" s="80"/>
      <c r="P4" s="54"/>
      <c r="Q4" s="45" t="s">
        <v>214</v>
      </c>
      <c r="R4" s="45" t="s">
        <v>215</v>
      </c>
      <c r="S4" s="45" t="s">
        <v>216</v>
      </c>
      <c r="T4" s="79"/>
      <c r="U4" s="80"/>
      <c r="V4" s="54"/>
      <c r="W4" s="84" t="s">
        <v>214</v>
      </c>
      <c r="X4" s="84" t="s">
        <v>224</v>
      </c>
      <c r="Y4" s="84" t="s">
        <v>216</v>
      </c>
      <c r="Z4" s="79"/>
      <c r="AA4" s="80"/>
      <c r="AB4" s="54"/>
    </row>
    <row r="5" s="35" customFormat="1" ht="16.5" customHeight="1" spans="1:28">
      <c r="A5" s="37"/>
      <c r="B5" s="46">
        <f>B6-$B$2</f>
        <v>35.99</v>
      </c>
      <c r="C5" s="47">
        <f t="shared" ref="C5:C14" si="0">$E$19</f>
        <v>10.0671140939597</v>
      </c>
      <c r="D5" s="48">
        <f t="shared" ref="D5:D14" si="1">C5/B5*100%</f>
        <v>0.279719758098353</v>
      </c>
      <c r="E5" s="47">
        <f t="shared" ref="E5:E14" si="2">$E$20</f>
        <v>2.00234899328859</v>
      </c>
      <c r="F5" s="48">
        <f t="shared" ref="F5:F14" si="3">E5/B5*100%</f>
        <v>0.0556362598857624</v>
      </c>
      <c r="G5" s="46">
        <f t="shared" ref="G5:G14" si="4">$C$36</f>
        <v>4.92</v>
      </c>
      <c r="H5" s="47">
        <f t="shared" ref="H5:H14" si="5">B5*0.15</f>
        <v>5.3985</v>
      </c>
      <c r="I5" s="47">
        <v>0</v>
      </c>
      <c r="J5" s="47">
        <f t="shared" ref="J5:J14" si="6">B5*0.1</f>
        <v>3.599</v>
      </c>
      <c r="K5" s="47">
        <f t="shared" ref="K5:K14" si="7">B5*0.03</f>
        <v>1.0797</v>
      </c>
      <c r="L5" s="47">
        <f t="shared" ref="L5:L14" si="8">B5*$C$29</f>
        <v>1.7995</v>
      </c>
      <c r="M5" s="47">
        <f t="shared" ref="M5:M14" si="9">(B5-J5)/1.22*0.22</f>
        <v>5.841</v>
      </c>
      <c r="N5" s="47">
        <f t="shared" ref="N5:N14" si="10">B5-C5-E5-G5-H5-J5-K5-L5-I5-M5</f>
        <v>1.28283691275167</v>
      </c>
      <c r="O5" s="48">
        <f t="shared" ref="O5:O14" si="11">N5/B5</f>
        <v>0.035644259870844</v>
      </c>
      <c r="P5" s="3"/>
      <c r="Q5" s="48">
        <f t="shared" ref="Q5:Q14" si="12">C5/B5*100%</f>
        <v>0.279719758098353</v>
      </c>
      <c r="R5" s="47">
        <f t="shared" ref="R5:R14" si="13">$E$21</f>
        <v>4.93912751677852</v>
      </c>
      <c r="S5" s="48">
        <f t="shared" ref="S5:S14" si="14">R5/B5*100%</f>
        <v>0.137236107718214</v>
      </c>
      <c r="T5" s="47">
        <f>B5-C5-R5-G5-H5-J5-K5-L5-I5-M5</f>
        <v>-1.65394161073825</v>
      </c>
      <c r="U5" s="48">
        <f t="shared" ref="U5:U14" si="15">T5/B5</f>
        <v>-0.0459555879616074</v>
      </c>
      <c r="V5" s="3"/>
      <c r="W5" s="48">
        <f t="shared" ref="W5:W14" si="16">C5/B5*100%</f>
        <v>0.279719758098353</v>
      </c>
      <c r="X5" s="47">
        <f t="shared" ref="X5:X14" si="17">$E$22</f>
        <v>2.87003355704698</v>
      </c>
      <c r="Y5" s="48">
        <f t="shared" ref="Y5:Y14" si="18">X5/B5*100%</f>
        <v>0.0797453058362595</v>
      </c>
      <c r="Z5" s="47">
        <f>B5-C5-X5-G5-H5-J5-K5-L5-I5-M5</f>
        <v>0.415152348993287</v>
      </c>
      <c r="AA5" s="48">
        <f t="shared" ref="AA5:AA14" si="19">Z5/B5</f>
        <v>0.0115352139203469</v>
      </c>
      <c r="AB5" s="3"/>
    </row>
    <row r="6" s="35" customFormat="1" ht="16.5" customHeight="1" spans="1:28">
      <c r="A6" s="37"/>
      <c r="B6" s="46">
        <f>B7-$B$2</f>
        <v>36.99</v>
      </c>
      <c r="C6" s="47">
        <f t="shared" si="0"/>
        <v>10.0671140939597</v>
      </c>
      <c r="D6" s="48">
        <f t="shared" si="1"/>
        <v>0.272157720842383</v>
      </c>
      <c r="E6" s="47">
        <f t="shared" si="2"/>
        <v>2.00234899328859</v>
      </c>
      <c r="F6" s="48">
        <f t="shared" si="3"/>
        <v>0.0541321706755499</v>
      </c>
      <c r="G6" s="46">
        <f t="shared" si="4"/>
        <v>4.92</v>
      </c>
      <c r="H6" s="47">
        <f t="shared" si="5"/>
        <v>5.5485</v>
      </c>
      <c r="I6" s="47">
        <v>0</v>
      </c>
      <c r="J6" s="47">
        <f t="shared" si="6"/>
        <v>3.699</v>
      </c>
      <c r="K6" s="47">
        <f t="shared" si="7"/>
        <v>1.1097</v>
      </c>
      <c r="L6" s="47">
        <f t="shared" si="8"/>
        <v>1.8495</v>
      </c>
      <c r="M6" s="47">
        <f t="shared" si="9"/>
        <v>6.00329508196721</v>
      </c>
      <c r="N6" s="47">
        <f t="shared" si="10"/>
        <v>1.79054183078446</v>
      </c>
      <c r="O6" s="48">
        <f t="shared" si="11"/>
        <v>0.0484061051847651</v>
      </c>
      <c r="P6" s="3"/>
      <c r="Q6" s="48">
        <f t="shared" si="12"/>
        <v>0.272157720842383</v>
      </c>
      <c r="R6" s="47">
        <f t="shared" si="13"/>
        <v>4.93912751677852</v>
      </c>
      <c r="S6" s="48">
        <f t="shared" si="14"/>
        <v>0.13352602099969</v>
      </c>
      <c r="T6" s="47">
        <f t="shared" ref="T6:T14" si="20">B6-C6-R6-G6-H6-J6-K6-L6-I6-M6</f>
        <v>-1.14623669270546</v>
      </c>
      <c r="U6" s="48">
        <f t="shared" si="15"/>
        <v>-0.0309877451393745</v>
      </c>
      <c r="V6" s="3"/>
      <c r="W6" s="48">
        <f t="shared" si="16"/>
        <v>0.272157720842383</v>
      </c>
      <c r="X6" s="47">
        <f t="shared" si="17"/>
        <v>2.87003355704698</v>
      </c>
      <c r="Y6" s="48">
        <f t="shared" si="18"/>
        <v>0.0775894446349548</v>
      </c>
      <c r="Z6" s="47">
        <f t="shared" ref="Z6:Z14" si="21">B6-C6-X6-G6-H6-J6-K6-L6-I6-M6</f>
        <v>0.922857267026075</v>
      </c>
      <c r="AA6" s="48">
        <f t="shared" si="19"/>
        <v>0.0249488312253602</v>
      </c>
      <c r="AB6" s="3"/>
    </row>
    <row r="7" s="35" customFormat="1" ht="16.5" customHeight="1" spans="1:28">
      <c r="A7" s="37"/>
      <c r="B7" s="46">
        <f>B8-$B$2</f>
        <v>37.99</v>
      </c>
      <c r="C7" s="47">
        <f t="shared" si="0"/>
        <v>10.0671140939597</v>
      </c>
      <c r="D7" s="48">
        <f t="shared" si="1"/>
        <v>0.26499379031218</v>
      </c>
      <c r="E7" s="47">
        <f t="shared" si="2"/>
        <v>2.00234899328859</v>
      </c>
      <c r="F7" s="48">
        <f t="shared" si="3"/>
        <v>0.0527072648930927</v>
      </c>
      <c r="G7" s="46">
        <f t="shared" si="4"/>
        <v>4.92</v>
      </c>
      <c r="H7" s="47">
        <f t="shared" si="5"/>
        <v>5.6985</v>
      </c>
      <c r="I7" s="47">
        <v>0</v>
      </c>
      <c r="J7" s="47">
        <f t="shared" si="6"/>
        <v>3.799</v>
      </c>
      <c r="K7" s="47">
        <f t="shared" si="7"/>
        <v>1.1397</v>
      </c>
      <c r="L7" s="47">
        <f t="shared" si="8"/>
        <v>1.8995</v>
      </c>
      <c r="M7" s="47">
        <f t="shared" si="9"/>
        <v>6.16559016393443</v>
      </c>
      <c r="N7" s="47">
        <f t="shared" si="10"/>
        <v>2.29824674881725</v>
      </c>
      <c r="O7" s="48">
        <f t="shared" si="11"/>
        <v>0.0604960976261451</v>
      </c>
      <c r="P7" s="3"/>
      <c r="Q7" s="48">
        <f t="shared" si="12"/>
        <v>0.26499379031218</v>
      </c>
      <c r="R7" s="47">
        <f t="shared" si="13"/>
        <v>4.93912751677852</v>
      </c>
      <c r="S7" s="48">
        <f t="shared" si="14"/>
        <v>0.130011253402962</v>
      </c>
      <c r="T7" s="47">
        <f t="shared" si="20"/>
        <v>-0.638531774672675</v>
      </c>
      <c r="U7" s="48">
        <f t="shared" si="15"/>
        <v>-0.016807890883724</v>
      </c>
      <c r="V7" s="3"/>
      <c r="W7" s="48">
        <f t="shared" si="16"/>
        <v>0.26499379031218</v>
      </c>
      <c r="X7" s="47">
        <f t="shared" si="17"/>
        <v>2.87003355704698</v>
      </c>
      <c r="Y7" s="48">
        <f t="shared" si="18"/>
        <v>0.0755470796800995</v>
      </c>
      <c r="Z7" s="47">
        <f t="shared" si="21"/>
        <v>1.43056218505886</v>
      </c>
      <c r="AA7" s="48">
        <f t="shared" si="19"/>
        <v>0.0376562828391383</v>
      </c>
      <c r="AB7" s="3"/>
    </row>
    <row r="8" s="35" customFormat="1" ht="16.5" customHeight="1" spans="1:28">
      <c r="A8" s="37"/>
      <c r="B8" s="46">
        <f>B9-$B$2</f>
        <v>38.99</v>
      </c>
      <c r="C8" s="47">
        <f t="shared" si="0"/>
        <v>10.0671140939597</v>
      </c>
      <c r="D8" s="48">
        <f t="shared" si="1"/>
        <v>0.258197335059239</v>
      </c>
      <c r="E8" s="47">
        <f t="shared" si="2"/>
        <v>2.00234899328859</v>
      </c>
      <c r="F8" s="48">
        <f t="shared" si="3"/>
        <v>0.0513554499432826</v>
      </c>
      <c r="G8" s="46">
        <f t="shared" si="4"/>
        <v>4.92</v>
      </c>
      <c r="H8" s="47">
        <f t="shared" si="5"/>
        <v>5.8485</v>
      </c>
      <c r="I8" s="47">
        <v>0</v>
      </c>
      <c r="J8" s="47">
        <f t="shared" si="6"/>
        <v>3.899</v>
      </c>
      <c r="K8" s="47">
        <f t="shared" si="7"/>
        <v>1.1697</v>
      </c>
      <c r="L8" s="47">
        <f t="shared" si="8"/>
        <v>1.9495</v>
      </c>
      <c r="M8" s="47">
        <f t="shared" si="9"/>
        <v>6.32788524590164</v>
      </c>
      <c r="N8" s="47">
        <f t="shared" si="10"/>
        <v>2.80595166685003</v>
      </c>
      <c r="O8" s="48">
        <f t="shared" si="11"/>
        <v>0.0719659314401137</v>
      </c>
      <c r="P8" s="3"/>
      <c r="Q8" s="48">
        <f t="shared" si="12"/>
        <v>0.258197335059239</v>
      </c>
      <c r="R8" s="47">
        <f t="shared" si="13"/>
        <v>4.93912751677852</v>
      </c>
      <c r="S8" s="48">
        <f t="shared" si="14"/>
        <v>0.126676776526764</v>
      </c>
      <c r="T8" s="47">
        <f t="shared" si="20"/>
        <v>-0.130826856639893</v>
      </c>
      <c r="U8" s="48">
        <f t="shared" si="15"/>
        <v>-0.00335539514336735</v>
      </c>
      <c r="V8" s="3"/>
      <c r="W8" s="48">
        <f t="shared" si="16"/>
        <v>0.258197335059239</v>
      </c>
      <c r="X8" s="47">
        <f t="shared" si="17"/>
        <v>2.87003355704698</v>
      </c>
      <c r="Y8" s="48">
        <f t="shared" si="18"/>
        <v>0.0736094782520385</v>
      </c>
      <c r="Z8" s="47">
        <f t="shared" si="21"/>
        <v>1.93826710309165</v>
      </c>
      <c r="AA8" s="48">
        <f t="shared" si="19"/>
        <v>0.0497119031313579</v>
      </c>
      <c r="AB8" s="3"/>
    </row>
    <row r="9" s="35" customFormat="1" ht="16.5" customHeight="1" spans="1:28">
      <c r="A9" s="37"/>
      <c r="B9" s="49">
        <f>B17</f>
        <v>39.99</v>
      </c>
      <c r="C9" s="50">
        <f t="shared" si="0"/>
        <v>10.0671140939597</v>
      </c>
      <c r="D9" s="51">
        <f t="shared" si="1"/>
        <v>0.25174078754588</v>
      </c>
      <c r="E9" s="50">
        <f t="shared" si="2"/>
        <v>2.00234899328859</v>
      </c>
      <c r="F9" s="51">
        <f t="shared" si="3"/>
        <v>0.0500712426428755</v>
      </c>
      <c r="G9" s="49">
        <f t="shared" si="4"/>
        <v>4.92</v>
      </c>
      <c r="H9" s="50">
        <f t="shared" si="5"/>
        <v>5.9985</v>
      </c>
      <c r="I9" s="50">
        <v>0</v>
      </c>
      <c r="J9" s="50">
        <f t="shared" si="6"/>
        <v>3.999</v>
      </c>
      <c r="K9" s="50">
        <f t="shared" si="7"/>
        <v>1.1997</v>
      </c>
      <c r="L9" s="50">
        <f t="shared" si="8"/>
        <v>1.9995</v>
      </c>
      <c r="M9" s="50">
        <f t="shared" si="9"/>
        <v>6.49018032786885</v>
      </c>
      <c r="N9" s="50">
        <f t="shared" si="10"/>
        <v>3.31365658488282</v>
      </c>
      <c r="O9" s="51">
        <f t="shared" si="11"/>
        <v>0.0828621301546093</v>
      </c>
      <c r="P9" s="3"/>
      <c r="Q9" s="51">
        <f t="shared" si="12"/>
        <v>0.25174078754588</v>
      </c>
      <c r="R9" s="50">
        <f t="shared" si="13"/>
        <v>4.93912751677852</v>
      </c>
      <c r="S9" s="51">
        <f t="shared" si="14"/>
        <v>0.12350906518576</v>
      </c>
      <c r="T9" s="50">
        <f t="shared" si="20"/>
        <v>0.376878061392897</v>
      </c>
      <c r="U9" s="51">
        <f t="shared" si="15"/>
        <v>0.00942430761172535</v>
      </c>
      <c r="V9" s="3"/>
      <c r="W9" s="51">
        <f t="shared" si="16"/>
        <v>0.25174078754588</v>
      </c>
      <c r="X9" s="50">
        <f t="shared" si="17"/>
        <v>2.87003355704698</v>
      </c>
      <c r="Y9" s="51">
        <f t="shared" si="18"/>
        <v>0.0717687811214549</v>
      </c>
      <c r="Z9" s="50">
        <f t="shared" si="21"/>
        <v>2.44597202112444</v>
      </c>
      <c r="AA9" s="51">
        <f t="shared" si="19"/>
        <v>0.0611645916760299</v>
      </c>
      <c r="AB9" s="3"/>
    </row>
    <row r="10" s="35" customFormat="1" ht="16.5" customHeight="1" spans="1:28">
      <c r="A10" s="37"/>
      <c r="B10" s="46">
        <f>B9+$B$2</f>
        <v>40.99</v>
      </c>
      <c r="C10" s="47">
        <f t="shared" si="0"/>
        <v>10.0671140939597</v>
      </c>
      <c r="D10" s="48">
        <f t="shared" si="1"/>
        <v>0.245599270406434</v>
      </c>
      <c r="E10" s="47">
        <f t="shared" si="2"/>
        <v>2.00234899328859</v>
      </c>
      <c r="F10" s="48">
        <f t="shared" si="3"/>
        <v>0.0488496948838397</v>
      </c>
      <c r="G10" s="46">
        <f t="shared" si="4"/>
        <v>4.92</v>
      </c>
      <c r="H10" s="47">
        <f t="shared" si="5"/>
        <v>6.1485</v>
      </c>
      <c r="I10" s="47">
        <v>0</v>
      </c>
      <c r="J10" s="47">
        <f t="shared" si="6"/>
        <v>4.099</v>
      </c>
      <c r="K10" s="47">
        <f t="shared" si="7"/>
        <v>1.2297</v>
      </c>
      <c r="L10" s="47">
        <f t="shared" si="8"/>
        <v>2.0495</v>
      </c>
      <c r="M10" s="47">
        <f t="shared" si="9"/>
        <v>6.65247540983607</v>
      </c>
      <c r="N10" s="47">
        <f t="shared" si="10"/>
        <v>3.82136150291561</v>
      </c>
      <c r="O10" s="48">
        <f t="shared" si="11"/>
        <v>0.0932266773094806</v>
      </c>
      <c r="P10" s="3"/>
      <c r="Q10" s="48">
        <f t="shared" si="12"/>
        <v>0.245599270406434</v>
      </c>
      <c r="R10" s="47">
        <f t="shared" si="13"/>
        <v>4.93912751677852</v>
      </c>
      <c r="S10" s="48">
        <f t="shared" si="14"/>
        <v>0.120495914046805</v>
      </c>
      <c r="T10" s="47">
        <f t="shared" si="20"/>
        <v>0.884582979425683</v>
      </c>
      <c r="U10" s="48">
        <f t="shared" si="15"/>
        <v>0.0215804581465158</v>
      </c>
      <c r="V10" s="3"/>
      <c r="W10" s="48">
        <f t="shared" si="16"/>
        <v>0.245599270406434</v>
      </c>
      <c r="X10" s="47">
        <f t="shared" si="17"/>
        <v>2.87003355704698</v>
      </c>
      <c r="Y10" s="48">
        <f t="shared" si="18"/>
        <v>0.0700178960001703</v>
      </c>
      <c r="Z10" s="47">
        <f t="shared" si="21"/>
        <v>2.95367693915722</v>
      </c>
      <c r="AA10" s="48">
        <f t="shared" si="19"/>
        <v>0.0720584761931501</v>
      </c>
      <c r="AB10" s="3"/>
    </row>
    <row r="11" s="35" customFormat="1" ht="16.5" customHeight="1" spans="1:28">
      <c r="A11" s="37"/>
      <c r="B11" s="46">
        <f>B10+$B$2</f>
        <v>41.99</v>
      </c>
      <c r="C11" s="47">
        <f t="shared" si="0"/>
        <v>10.0671140939597</v>
      </c>
      <c r="D11" s="48">
        <f t="shared" si="1"/>
        <v>0.239750276112401</v>
      </c>
      <c r="E11" s="47">
        <f t="shared" si="2"/>
        <v>2.00234899328859</v>
      </c>
      <c r="F11" s="48">
        <f t="shared" si="3"/>
        <v>0.0476863299187566</v>
      </c>
      <c r="G11" s="47">
        <f t="shared" si="4"/>
        <v>4.92</v>
      </c>
      <c r="H11" s="47">
        <f t="shared" si="5"/>
        <v>6.2985</v>
      </c>
      <c r="I11" s="47">
        <v>0</v>
      </c>
      <c r="J11" s="47">
        <f t="shared" si="6"/>
        <v>4.199</v>
      </c>
      <c r="K11" s="47">
        <f t="shared" si="7"/>
        <v>1.2597</v>
      </c>
      <c r="L11" s="47">
        <f t="shared" si="8"/>
        <v>2.0995</v>
      </c>
      <c r="M11" s="47">
        <f t="shared" si="9"/>
        <v>6.81477049180328</v>
      </c>
      <c r="N11" s="47">
        <f t="shared" si="10"/>
        <v>4.32906642094839</v>
      </c>
      <c r="O11" s="48">
        <f t="shared" si="11"/>
        <v>0.103097557059976</v>
      </c>
      <c r="P11" s="81"/>
      <c r="Q11" s="48">
        <f t="shared" si="12"/>
        <v>0.239750276112401</v>
      </c>
      <c r="R11" s="52">
        <f t="shared" si="13"/>
        <v>4.93912751677852</v>
      </c>
      <c r="S11" s="48">
        <f t="shared" si="14"/>
        <v>0.117626280466266</v>
      </c>
      <c r="T11" s="47">
        <f t="shared" si="20"/>
        <v>1.39228789745847</v>
      </c>
      <c r="U11" s="48">
        <f t="shared" si="15"/>
        <v>0.0331576065124665</v>
      </c>
      <c r="V11" s="81"/>
      <c r="W11" s="48">
        <f t="shared" si="16"/>
        <v>0.239750276112401</v>
      </c>
      <c r="X11" s="52">
        <f t="shared" si="17"/>
        <v>2.87003355704698</v>
      </c>
      <c r="Y11" s="48">
        <f t="shared" si="18"/>
        <v>0.0683504062168845</v>
      </c>
      <c r="Z11" s="47">
        <f t="shared" si="21"/>
        <v>3.46138185719001</v>
      </c>
      <c r="AA11" s="48">
        <f t="shared" si="19"/>
        <v>0.0824334807618482</v>
      </c>
      <c r="AB11" s="3"/>
    </row>
    <row r="12" s="35" customFormat="1" ht="16.5" customHeight="1" spans="1:28">
      <c r="A12" s="37"/>
      <c r="B12" s="46">
        <f>B11+$B$2</f>
        <v>42.99</v>
      </c>
      <c r="C12" s="47">
        <f t="shared" si="0"/>
        <v>10.0671140939597</v>
      </c>
      <c r="D12" s="48">
        <f t="shared" si="1"/>
        <v>0.234173391345888</v>
      </c>
      <c r="E12" s="47">
        <f t="shared" si="2"/>
        <v>2.00234899328859</v>
      </c>
      <c r="F12" s="48">
        <f t="shared" si="3"/>
        <v>0.0465770875386971</v>
      </c>
      <c r="G12" s="46">
        <f t="shared" si="4"/>
        <v>4.92</v>
      </c>
      <c r="H12" s="47">
        <f t="shared" si="5"/>
        <v>6.4485</v>
      </c>
      <c r="I12" s="47">
        <v>0</v>
      </c>
      <c r="J12" s="47">
        <f t="shared" si="6"/>
        <v>4.299</v>
      </c>
      <c r="K12" s="47">
        <f t="shared" si="7"/>
        <v>1.2897</v>
      </c>
      <c r="L12" s="47">
        <f t="shared" si="8"/>
        <v>2.1495</v>
      </c>
      <c r="M12" s="47">
        <f t="shared" si="9"/>
        <v>6.97706557377049</v>
      </c>
      <c r="N12" s="47">
        <f t="shared" si="10"/>
        <v>4.83677133898119</v>
      </c>
      <c r="O12" s="48">
        <f t="shared" si="11"/>
        <v>0.112509219329639</v>
      </c>
      <c r="P12" s="81"/>
      <c r="Q12" s="48">
        <f t="shared" si="12"/>
        <v>0.234173391345888</v>
      </c>
      <c r="R12" s="52">
        <f t="shared" si="13"/>
        <v>4.93912751677852</v>
      </c>
      <c r="S12" s="48">
        <f t="shared" si="14"/>
        <v>0.11489014926212</v>
      </c>
      <c r="T12" s="47">
        <f t="shared" si="20"/>
        <v>1.89999281549126</v>
      </c>
      <c r="U12" s="48">
        <f t="shared" si="15"/>
        <v>0.0441961576062168</v>
      </c>
      <c r="V12" s="81"/>
      <c r="W12" s="48">
        <f t="shared" si="16"/>
        <v>0.234173391345888</v>
      </c>
      <c r="X12" s="52">
        <f t="shared" si="17"/>
        <v>2.87003355704698</v>
      </c>
      <c r="Y12" s="48">
        <f t="shared" si="18"/>
        <v>0.0667604921387993</v>
      </c>
      <c r="Z12" s="47">
        <f t="shared" si="21"/>
        <v>3.9690867752228</v>
      </c>
      <c r="AA12" s="48">
        <f t="shared" si="19"/>
        <v>0.0923258147295371</v>
      </c>
      <c r="AB12" s="3"/>
    </row>
    <row r="13" s="35" customFormat="1" ht="16.5" customHeight="1" spans="1:28">
      <c r="A13" s="37"/>
      <c r="B13" s="46">
        <f>B12+$B$2</f>
        <v>43.99</v>
      </c>
      <c r="C13" s="47">
        <f t="shared" si="0"/>
        <v>10.0671140939597</v>
      </c>
      <c r="D13" s="48">
        <f t="shared" si="1"/>
        <v>0.228850058967032</v>
      </c>
      <c r="E13" s="47">
        <f t="shared" si="2"/>
        <v>2.00234899328859</v>
      </c>
      <c r="F13" s="48">
        <f t="shared" si="3"/>
        <v>0.0455182767285426</v>
      </c>
      <c r="G13" s="46">
        <f t="shared" si="4"/>
        <v>4.92</v>
      </c>
      <c r="H13" s="47">
        <f t="shared" si="5"/>
        <v>6.5985</v>
      </c>
      <c r="I13" s="47">
        <v>0</v>
      </c>
      <c r="J13" s="47">
        <f t="shared" si="6"/>
        <v>4.399</v>
      </c>
      <c r="K13" s="47">
        <f t="shared" si="7"/>
        <v>1.3197</v>
      </c>
      <c r="L13" s="47">
        <f t="shared" si="8"/>
        <v>2.1995</v>
      </c>
      <c r="M13" s="47">
        <f t="shared" si="9"/>
        <v>7.1393606557377</v>
      </c>
      <c r="N13" s="47">
        <f t="shared" si="10"/>
        <v>5.34447625701397</v>
      </c>
      <c r="O13" s="48">
        <f t="shared" si="11"/>
        <v>0.121492981518844</v>
      </c>
      <c r="P13" s="81"/>
      <c r="Q13" s="48">
        <f t="shared" si="12"/>
        <v>0.228850058967032</v>
      </c>
      <c r="R13" s="52">
        <f t="shared" si="13"/>
        <v>4.93912751677852</v>
      </c>
      <c r="S13" s="48">
        <f t="shared" si="14"/>
        <v>0.112278415930405</v>
      </c>
      <c r="T13" s="47">
        <f t="shared" si="20"/>
        <v>2.40769773352404</v>
      </c>
      <c r="U13" s="48">
        <f t="shared" si="15"/>
        <v>0.0547328423169821</v>
      </c>
      <c r="V13" s="81"/>
      <c r="W13" s="48">
        <f t="shared" si="16"/>
        <v>0.228850058967032</v>
      </c>
      <c r="X13" s="52">
        <f t="shared" si="17"/>
        <v>2.87003355704698</v>
      </c>
      <c r="Y13" s="48">
        <f t="shared" si="18"/>
        <v>0.0652428633109111</v>
      </c>
      <c r="Z13" s="47">
        <f t="shared" si="21"/>
        <v>4.47679169325558</v>
      </c>
      <c r="AA13" s="48">
        <f t="shared" si="19"/>
        <v>0.101768394936476</v>
      </c>
      <c r="AB13" s="3"/>
    </row>
    <row r="14" s="35" customFormat="1" ht="16.5" customHeight="1" spans="1:28">
      <c r="A14" s="37"/>
      <c r="B14" s="46">
        <f>B13+$B$2</f>
        <v>44.99</v>
      </c>
      <c r="C14" s="52">
        <f t="shared" si="0"/>
        <v>10.0671140939597</v>
      </c>
      <c r="D14" s="53">
        <f t="shared" si="1"/>
        <v>0.223763371726155</v>
      </c>
      <c r="E14" s="52">
        <f t="shared" si="2"/>
        <v>2.00234899328859</v>
      </c>
      <c r="F14" s="53">
        <f t="shared" si="3"/>
        <v>0.0445065346363323</v>
      </c>
      <c r="G14" s="46">
        <f t="shared" si="4"/>
        <v>4.92</v>
      </c>
      <c r="H14" s="52">
        <f t="shared" si="5"/>
        <v>6.7485</v>
      </c>
      <c r="I14" s="52">
        <v>0</v>
      </c>
      <c r="J14" s="47">
        <f t="shared" si="6"/>
        <v>4.499</v>
      </c>
      <c r="K14" s="52">
        <f t="shared" si="7"/>
        <v>1.3497</v>
      </c>
      <c r="L14" s="47">
        <f t="shared" si="8"/>
        <v>2.2495</v>
      </c>
      <c r="M14" s="47">
        <f t="shared" si="9"/>
        <v>7.30165573770492</v>
      </c>
      <c r="N14" s="47">
        <f t="shared" si="10"/>
        <v>5.85218117504676</v>
      </c>
      <c r="O14" s="53">
        <f t="shared" si="11"/>
        <v>0.130077376640292</v>
      </c>
      <c r="P14" s="81"/>
      <c r="Q14" s="48">
        <f t="shared" si="12"/>
        <v>0.223763371726155</v>
      </c>
      <c r="R14" s="52">
        <f t="shared" si="13"/>
        <v>4.93912751677852</v>
      </c>
      <c r="S14" s="48">
        <f t="shared" si="14"/>
        <v>0.109782785436286</v>
      </c>
      <c r="T14" s="47">
        <f t="shared" si="20"/>
        <v>2.91540265155683</v>
      </c>
      <c r="U14" s="48">
        <f t="shared" si="15"/>
        <v>0.0648011258403385</v>
      </c>
      <c r="V14" s="81"/>
      <c r="W14" s="48">
        <f t="shared" si="16"/>
        <v>0.223763371726155</v>
      </c>
      <c r="X14" s="52">
        <f t="shared" si="17"/>
        <v>2.87003355704698</v>
      </c>
      <c r="Y14" s="48">
        <f t="shared" si="18"/>
        <v>0.0637926996454096</v>
      </c>
      <c r="Z14" s="47">
        <f t="shared" si="21"/>
        <v>4.98449661128837</v>
      </c>
      <c r="AA14" s="48">
        <f t="shared" si="19"/>
        <v>0.110791211631215</v>
      </c>
      <c r="AB14" s="3"/>
    </row>
    <row r="15" ht="16.5" customHeight="1" spans="2:28">
      <c r="B15" s="54"/>
      <c r="C15" s="3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1" customHeight="1" spans="2:28">
      <c r="B16" s="55" t="s">
        <v>225</v>
      </c>
      <c r="C16" s="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 spans="2:28">
      <c r="B17" s="56">
        <v>39.99</v>
      </c>
      <c r="C17" s="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6.5" customHeight="1" spans="2:28">
      <c r="B18" s="57"/>
      <c r="C18" s="58" t="s">
        <v>199</v>
      </c>
      <c r="D18" s="59"/>
      <c r="E18" s="59" t="s">
        <v>247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4.25" customHeight="1" spans="2:28">
      <c r="B19" s="60" t="s">
        <v>213</v>
      </c>
      <c r="C19" s="61">
        <v>75</v>
      </c>
      <c r="D19" s="62"/>
      <c r="E19" s="63">
        <f>C19/$C$23</f>
        <v>10.0671140939597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6.5" customHeight="1" spans="2:28">
      <c r="B20" s="64" t="s">
        <v>227</v>
      </c>
      <c r="C20" s="65">
        <f>MAX(C28*C32,C27*C32)</f>
        <v>14.9175</v>
      </c>
      <c r="D20" s="62"/>
      <c r="E20" s="63">
        <f>C20/$C$23</f>
        <v>2.00234899328859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6.5" customHeight="1" spans="2:28">
      <c r="B21" s="66" t="s">
        <v>228</v>
      </c>
      <c r="C21" s="65">
        <f>MAX(C27*C33,C28*C33)</f>
        <v>36.7965</v>
      </c>
      <c r="D21" s="62"/>
      <c r="E21" s="63">
        <f>C21/$C$23</f>
        <v>4.93912751677852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6.5" customHeight="1" spans="2:28">
      <c r="B22" s="66" t="s">
        <v>229</v>
      </c>
      <c r="C22" s="65">
        <f>MAX(C34*C27,C34*C28)</f>
        <v>21.38175</v>
      </c>
      <c r="D22" s="62"/>
      <c r="E22" s="63">
        <f>C22/$C$23</f>
        <v>2.87003355704698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4.25" customHeight="1" spans="2:28">
      <c r="B23" s="67" t="s">
        <v>16</v>
      </c>
      <c r="C23" s="68">
        <v>7.45</v>
      </c>
      <c r="D23" s="69"/>
      <c r="E23" s="57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6.5" customHeight="1" spans="2:28">
      <c r="B24" s="67" t="s">
        <v>230</v>
      </c>
      <c r="C24" s="68">
        <v>25.5</v>
      </c>
      <c r="D24" s="57"/>
      <c r="E24" s="57" t="s">
        <v>231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6.5" customHeight="1" spans="2:28">
      <c r="B25" s="67" t="s">
        <v>232</v>
      </c>
      <c r="C25" s="68">
        <v>19.5</v>
      </c>
      <c r="D25" s="57"/>
      <c r="E25" s="57" t="s">
        <v>231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6.5" customHeight="1" spans="2:28">
      <c r="B26" s="67" t="s">
        <v>233</v>
      </c>
      <c r="C26" s="68">
        <v>12</v>
      </c>
      <c r="D26" s="57"/>
      <c r="E26" s="57" t="s">
        <v>231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4.25" customHeight="1" spans="2:28">
      <c r="B27" s="60" t="s">
        <v>234</v>
      </c>
      <c r="C27" s="70">
        <v>0.81</v>
      </c>
      <c r="D27" s="57"/>
      <c r="E27" s="57" t="s">
        <v>235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 spans="2:28">
      <c r="B28" s="60" t="s">
        <v>236</v>
      </c>
      <c r="C28" s="70">
        <f>C24*C25*C26/6000</f>
        <v>0.9945</v>
      </c>
      <c r="D28" s="57"/>
      <c r="E28" s="57" t="s">
        <v>235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4.25" customHeight="1" spans="2:28">
      <c r="B29" s="60" t="s">
        <v>59</v>
      </c>
      <c r="C29" s="70">
        <v>0.05</v>
      </c>
      <c r="D29" s="57"/>
      <c r="E29" s="57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6.5" customHeight="1" spans="2:28">
      <c r="B30" s="54"/>
      <c r="C30" s="3"/>
      <c r="D30" s="54"/>
      <c r="E30" s="71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6.5" customHeight="1" spans="2:28">
      <c r="B31" s="72" t="s">
        <v>237</v>
      </c>
      <c r="C31" s="69" t="s">
        <v>238</v>
      </c>
      <c r="D31" s="54"/>
      <c r="E31" s="7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4.25" customHeight="1" spans="2:28">
      <c r="B32" s="73" t="s">
        <v>239</v>
      </c>
      <c r="C32" s="74">
        <v>15</v>
      </c>
      <c r="D32" s="54"/>
      <c r="E32" s="71" t="s">
        <v>240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4.25" customHeight="1" spans="2:28">
      <c r="B33" s="73" t="s">
        <v>241</v>
      </c>
      <c r="C33" s="74">
        <v>37</v>
      </c>
      <c r="D33" s="54"/>
      <c r="E33" s="71" t="s">
        <v>240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6.5" customHeight="1" spans="2:28">
      <c r="B34" s="73" t="s">
        <v>246</v>
      </c>
      <c r="C34" s="74">
        <v>21.5</v>
      </c>
      <c r="D34" s="54"/>
      <c r="E34" s="71" t="s">
        <v>240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ht="16.5" customHeight="1" spans="2:28">
      <c r="B35" s="54"/>
      <c r="C35" s="3"/>
      <c r="D35" s="54"/>
      <c r="E35" s="71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ht="14.25" customHeight="1" spans="2:28">
      <c r="B36" s="54" t="s">
        <v>243</v>
      </c>
      <c r="C36" s="75">
        <v>4.92</v>
      </c>
      <c r="D36" s="54"/>
      <c r="E36" s="71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ht="16.5" customHeight="1" spans="2:28">
      <c r="B37" s="54"/>
      <c r="C37" s="76"/>
      <c r="D37" s="54"/>
      <c r="E37" s="71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ht="16.5" customHeight="1" spans="2:28">
      <c r="B38" s="54"/>
      <c r="C38" s="76"/>
      <c r="D38" s="54"/>
      <c r="E38" s="71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N5:O14 T5:U14 Z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2:AB38"/>
  <sheetViews>
    <sheetView showGridLines="0" topLeftCell="L1" workbookViewId="0">
      <selection activeCell="T20" sqref="T20"/>
    </sheetView>
  </sheetViews>
  <sheetFormatPr defaultColWidth="9" defaultRowHeight="13.5" customHeight="1"/>
  <cols>
    <col min="1" max="1" width="2.125" style="36" customWidth="1"/>
    <col min="2" max="2" width="13.5" style="36" customWidth="1"/>
    <col min="3" max="3" width="8.875" style="37" customWidth="1"/>
    <col min="4" max="8" width="8.875" style="36" customWidth="1"/>
    <col min="9" max="9" width="13.625" style="36" customWidth="1"/>
    <col min="10" max="12" width="8.875" style="36" customWidth="1"/>
    <col min="13" max="14" width="8.125" style="36" customWidth="1"/>
    <col min="15" max="15" width="8" style="36" customWidth="1"/>
    <col min="16" max="16" width="7" style="36" customWidth="1"/>
    <col min="17" max="19" width="8.875" style="36" customWidth="1"/>
    <col min="20" max="20" width="8.125" style="36" customWidth="1"/>
    <col min="21" max="21" width="8" style="36" customWidth="1"/>
    <col min="22" max="22" width="8.875" style="36" customWidth="1"/>
    <col min="23" max="23" width="12.875" style="36" customWidth="1"/>
    <col min="24" max="25" width="8.875" style="36" customWidth="1"/>
    <col min="26" max="26" width="8.125" style="36" customWidth="1"/>
    <col min="27" max="27" width="12.875" style="36" customWidth="1"/>
    <col min="28" max="28" width="18.875" style="36" customWidth="1"/>
  </cols>
  <sheetData>
    <row r="2" ht="22.5" customHeight="1" spans="2:28">
      <c r="B2" s="38">
        <v>1</v>
      </c>
      <c r="C2" s="39" t="s">
        <v>208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77"/>
      <c r="P2" s="54"/>
      <c r="Q2" s="82" t="s">
        <v>209</v>
      </c>
      <c r="R2" s="82"/>
      <c r="S2" s="82"/>
      <c r="T2" s="82"/>
      <c r="U2" s="83"/>
      <c r="V2" s="54"/>
      <c r="W2" s="82" t="s">
        <v>244</v>
      </c>
      <c r="X2" s="82"/>
      <c r="Y2" s="82"/>
      <c r="Z2" s="82"/>
      <c r="AA2" s="83"/>
      <c r="AB2" s="54"/>
    </row>
    <row r="3" ht="16.5" customHeight="1" spans="2:28">
      <c r="B3" s="41" t="s">
        <v>211</v>
      </c>
      <c r="C3" s="42" t="s">
        <v>212</v>
      </c>
      <c r="D3" s="43"/>
      <c r="E3" s="43"/>
      <c r="F3" s="43"/>
      <c r="G3" s="43"/>
      <c r="H3" s="43"/>
      <c r="I3" s="43"/>
      <c r="J3" s="43"/>
      <c r="K3" s="43"/>
      <c r="L3" s="78"/>
      <c r="M3" s="78"/>
      <c r="N3" s="79" t="s">
        <v>135</v>
      </c>
      <c r="O3" s="80" t="s">
        <v>74</v>
      </c>
      <c r="P3" s="54"/>
      <c r="Q3" s="43"/>
      <c r="R3" s="43"/>
      <c r="S3" s="43"/>
      <c r="T3" s="79" t="s">
        <v>135</v>
      </c>
      <c r="U3" s="80" t="s">
        <v>74</v>
      </c>
      <c r="V3" s="54"/>
      <c r="W3" s="43"/>
      <c r="X3" s="43"/>
      <c r="Y3" s="43"/>
      <c r="Z3" s="79" t="s">
        <v>135</v>
      </c>
      <c r="AA3" s="80" t="s">
        <v>74</v>
      </c>
      <c r="AB3" s="54"/>
    </row>
    <row r="4" ht="16.5" customHeight="1" spans="2:28">
      <c r="B4" s="41"/>
      <c r="C4" s="44" t="s">
        <v>213</v>
      </c>
      <c r="D4" s="45" t="s">
        <v>214</v>
      </c>
      <c r="E4" s="45" t="s">
        <v>215</v>
      </c>
      <c r="F4" s="45" t="s">
        <v>216</v>
      </c>
      <c r="G4" s="45" t="s">
        <v>217</v>
      </c>
      <c r="H4" s="45" t="s">
        <v>218</v>
      </c>
      <c r="I4" s="45" t="s">
        <v>219</v>
      </c>
      <c r="J4" s="45" t="s">
        <v>220</v>
      </c>
      <c r="K4" s="45" t="s">
        <v>221</v>
      </c>
      <c r="L4" s="45" t="s">
        <v>222</v>
      </c>
      <c r="M4" s="45" t="s">
        <v>223</v>
      </c>
      <c r="N4" s="79"/>
      <c r="O4" s="80"/>
      <c r="P4" s="54"/>
      <c r="Q4" s="45" t="s">
        <v>214</v>
      </c>
      <c r="R4" s="45" t="s">
        <v>215</v>
      </c>
      <c r="S4" s="45" t="s">
        <v>216</v>
      </c>
      <c r="T4" s="79"/>
      <c r="U4" s="80"/>
      <c r="V4" s="54"/>
      <c r="W4" s="84" t="s">
        <v>214</v>
      </c>
      <c r="X4" s="84" t="s">
        <v>224</v>
      </c>
      <c r="Y4" s="84" t="s">
        <v>216</v>
      </c>
      <c r="Z4" s="79"/>
      <c r="AA4" s="80"/>
      <c r="AB4" s="54"/>
    </row>
    <row r="5" s="35" customFormat="1" ht="16.5" customHeight="1" spans="1:28">
      <c r="A5" s="37"/>
      <c r="B5" s="46">
        <f>B6-$B$2</f>
        <v>35.99</v>
      </c>
      <c r="C5" s="47">
        <f t="shared" ref="C5:C14" si="0">$E$19</f>
        <v>10.0671140939597</v>
      </c>
      <c r="D5" s="48">
        <f t="shared" ref="D5:D14" si="1">C5/B5*100%</f>
        <v>0.279719758098353</v>
      </c>
      <c r="E5" s="47">
        <f t="shared" ref="E5:E14" si="2">$E$20</f>
        <v>2.00234899328859</v>
      </c>
      <c r="F5" s="48">
        <f t="shared" ref="F5:F14" si="3">E5/B5*100%</f>
        <v>0.0556362598857624</v>
      </c>
      <c r="G5" s="46">
        <f t="shared" ref="G5:G14" si="4">$C$36</f>
        <v>4.16</v>
      </c>
      <c r="H5" s="47">
        <f t="shared" ref="H5:H14" si="5">B5*0.15</f>
        <v>5.3985</v>
      </c>
      <c r="I5" s="47">
        <v>0</v>
      </c>
      <c r="J5" s="47">
        <f t="shared" ref="J5:J14" si="6">B5*0.1</f>
        <v>3.599</v>
      </c>
      <c r="K5" s="47">
        <f t="shared" ref="K5:K14" si="7">B5*0.03</f>
        <v>1.0797</v>
      </c>
      <c r="L5" s="47">
        <f t="shared" ref="L5:L14" si="8">B5*$C$29</f>
        <v>1.7995</v>
      </c>
      <c r="M5" s="47">
        <f t="shared" ref="M5:M14" si="9">(B5-J5)/1.21*0.21</f>
        <v>5.6215785123967</v>
      </c>
      <c r="N5" s="47">
        <f t="shared" ref="N5:N14" si="10">B5-C5-E5-G5-H5-J5-K5-L5-I5-M5</f>
        <v>2.26225840035498</v>
      </c>
      <c r="O5" s="48">
        <f t="shared" ref="O5:O14" si="11">N5/B5</f>
        <v>0.0628579716686575</v>
      </c>
      <c r="P5" s="3"/>
      <c r="Q5" s="48">
        <f t="shared" ref="Q5:Q14" si="12">C5/B5*100%</f>
        <v>0.279719758098353</v>
      </c>
      <c r="R5" s="47">
        <f t="shared" ref="R5:R14" si="13">$E$21</f>
        <v>4.93912751677852</v>
      </c>
      <c r="S5" s="48">
        <f t="shared" ref="S5:S14" si="14">R5/B5*100%</f>
        <v>0.137236107718214</v>
      </c>
      <c r="T5" s="47">
        <f>B5-C5-R5-G5-H5-J5-K5-L5-I5-M5</f>
        <v>-0.674520123134948</v>
      </c>
      <c r="U5" s="48">
        <f t="shared" ref="U5:U14" si="15">T5/B5</f>
        <v>-0.018741876163794</v>
      </c>
      <c r="V5" s="3"/>
      <c r="W5" s="48">
        <f t="shared" ref="W5:W14" si="16">C5/B5*100%</f>
        <v>0.279719758098353</v>
      </c>
      <c r="X5" s="47">
        <f t="shared" ref="X5:X14" si="17">$E$22</f>
        <v>2.87003355704698</v>
      </c>
      <c r="Y5" s="48">
        <f t="shared" ref="Y5:Y14" si="18">X5/B5*100%</f>
        <v>0.0797453058362595</v>
      </c>
      <c r="Z5" s="47">
        <f>B5-C5-X5-G5-H5-J5-K5-L5-I5-M5</f>
        <v>1.39457383659659</v>
      </c>
      <c r="AA5" s="48">
        <f t="shared" ref="AA5:AA14" si="19">Z5/B5</f>
        <v>0.0387489257181604</v>
      </c>
      <c r="AB5" s="3"/>
    </row>
    <row r="6" s="35" customFormat="1" ht="16.5" customHeight="1" spans="1:28">
      <c r="A6" s="37"/>
      <c r="B6" s="46">
        <f>B7-$B$2</f>
        <v>36.99</v>
      </c>
      <c r="C6" s="47">
        <f t="shared" si="0"/>
        <v>10.0671140939597</v>
      </c>
      <c r="D6" s="48">
        <f t="shared" si="1"/>
        <v>0.272157720842383</v>
      </c>
      <c r="E6" s="47">
        <f t="shared" si="2"/>
        <v>2.00234899328859</v>
      </c>
      <c r="F6" s="48">
        <f t="shared" si="3"/>
        <v>0.0541321706755499</v>
      </c>
      <c r="G6" s="46">
        <f t="shared" si="4"/>
        <v>4.16</v>
      </c>
      <c r="H6" s="47">
        <f t="shared" si="5"/>
        <v>5.5485</v>
      </c>
      <c r="I6" s="47">
        <v>0</v>
      </c>
      <c r="J6" s="47">
        <f t="shared" si="6"/>
        <v>3.699</v>
      </c>
      <c r="K6" s="47">
        <f t="shared" si="7"/>
        <v>1.1097</v>
      </c>
      <c r="L6" s="47">
        <f t="shared" si="8"/>
        <v>1.8495</v>
      </c>
      <c r="M6" s="47">
        <f t="shared" si="9"/>
        <v>5.77777685950413</v>
      </c>
      <c r="N6" s="47">
        <f t="shared" si="10"/>
        <v>2.77606005324754</v>
      </c>
      <c r="O6" s="48">
        <f t="shared" si="11"/>
        <v>0.0750489335833345</v>
      </c>
      <c r="P6" s="3"/>
      <c r="Q6" s="48">
        <f t="shared" si="12"/>
        <v>0.272157720842383</v>
      </c>
      <c r="R6" s="47">
        <f t="shared" si="13"/>
        <v>4.93912751677852</v>
      </c>
      <c r="S6" s="48">
        <f t="shared" si="14"/>
        <v>0.13352602099969</v>
      </c>
      <c r="T6" s="47">
        <f t="shared" ref="T6:T14" si="20">B6-C6-R6-G6-H6-J6-K6-L6-I6-M6</f>
        <v>-0.160718470242386</v>
      </c>
      <c r="U6" s="48">
        <f t="shared" si="15"/>
        <v>-0.00434491674080523</v>
      </c>
      <c r="V6" s="3"/>
      <c r="W6" s="48">
        <f t="shared" si="16"/>
        <v>0.272157720842383</v>
      </c>
      <c r="X6" s="47">
        <f t="shared" si="17"/>
        <v>2.87003355704698</v>
      </c>
      <c r="Y6" s="48">
        <f t="shared" si="18"/>
        <v>0.0775894446349548</v>
      </c>
      <c r="Z6" s="47">
        <f t="shared" ref="Z6:Z14" si="21">B6-C6-X6-G6-H6-J6-K6-L6-I6-M6</f>
        <v>1.90837548948916</v>
      </c>
      <c r="AA6" s="48">
        <f t="shared" si="19"/>
        <v>0.0515916596239296</v>
      </c>
      <c r="AB6" s="3"/>
    </row>
    <row r="7" s="35" customFormat="1" ht="16.5" customHeight="1" spans="1:28">
      <c r="A7" s="37"/>
      <c r="B7" s="46">
        <f>B8-$B$2</f>
        <v>37.99</v>
      </c>
      <c r="C7" s="47">
        <f t="shared" si="0"/>
        <v>10.0671140939597</v>
      </c>
      <c r="D7" s="48">
        <f t="shared" si="1"/>
        <v>0.26499379031218</v>
      </c>
      <c r="E7" s="47">
        <f t="shared" si="2"/>
        <v>2.00234899328859</v>
      </c>
      <c r="F7" s="48">
        <f t="shared" si="3"/>
        <v>0.0527072648930927</v>
      </c>
      <c r="G7" s="46">
        <f t="shared" si="4"/>
        <v>4.16</v>
      </c>
      <c r="H7" s="47">
        <f t="shared" si="5"/>
        <v>5.6985</v>
      </c>
      <c r="I7" s="47">
        <v>0</v>
      </c>
      <c r="J7" s="47">
        <f t="shared" si="6"/>
        <v>3.799</v>
      </c>
      <c r="K7" s="47">
        <f t="shared" si="7"/>
        <v>1.1397</v>
      </c>
      <c r="L7" s="47">
        <f t="shared" si="8"/>
        <v>1.8995</v>
      </c>
      <c r="M7" s="47">
        <f t="shared" si="9"/>
        <v>5.93397520661157</v>
      </c>
      <c r="N7" s="47">
        <f t="shared" si="10"/>
        <v>3.28986170614011</v>
      </c>
      <c r="O7" s="48">
        <f t="shared" si="11"/>
        <v>0.0865980970292211</v>
      </c>
      <c r="P7" s="3"/>
      <c r="Q7" s="48">
        <f t="shared" si="12"/>
        <v>0.26499379031218</v>
      </c>
      <c r="R7" s="47">
        <f t="shared" si="13"/>
        <v>4.93912751677852</v>
      </c>
      <c r="S7" s="48">
        <f t="shared" si="14"/>
        <v>0.130011253402962</v>
      </c>
      <c r="T7" s="47">
        <f t="shared" si="20"/>
        <v>0.353083182650179</v>
      </c>
      <c r="U7" s="48">
        <f t="shared" si="15"/>
        <v>0.00929410851935191</v>
      </c>
      <c r="V7" s="3"/>
      <c r="W7" s="48">
        <f t="shared" si="16"/>
        <v>0.26499379031218</v>
      </c>
      <c r="X7" s="47">
        <f t="shared" si="17"/>
        <v>2.87003355704698</v>
      </c>
      <c r="Y7" s="48">
        <f t="shared" si="18"/>
        <v>0.0755470796800995</v>
      </c>
      <c r="Z7" s="47">
        <f t="shared" si="21"/>
        <v>2.42217714238172</v>
      </c>
      <c r="AA7" s="48">
        <f t="shared" si="19"/>
        <v>0.0637582822422143</v>
      </c>
      <c r="AB7" s="3"/>
    </row>
    <row r="8" s="35" customFormat="1" ht="16.5" customHeight="1" spans="1:28">
      <c r="A8" s="37"/>
      <c r="B8" s="46">
        <f>B9-$B$2</f>
        <v>38.99</v>
      </c>
      <c r="C8" s="47">
        <f t="shared" si="0"/>
        <v>10.0671140939597</v>
      </c>
      <c r="D8" s="48">
        <f t="shared" si="1"/>
        <v>0.258197335059239</v>
      </c>
      <c r="E8" s="47">
        <f t="shared" si="2"/>
        <v>2.00234899328859</v>
      </c>
      <c r="F8" s="48">
        <f t="shared" si="3"/>
        <v>0.0513554499432826</v>
      </c>
      <c r="G8" s="46">
        <f t="shared" si="4"/>
        <v>4.16</v>
      </c>
      <c r="H8" s="47">
        <f t="shared" si="5"/>
        <v>5.8485</v>
      </c>
      <c r="I8" s="47">
        <v>0</v>
      </c>
      <c r="J8" s="47">
        <f t="shared" si="6"/>
        <v>3.899</v>
      </c>
      <c r="K8" s="47">
        <f t="shared" si="7"/>
        <v>1.1697</v>
      </c>
      <c r="L8" s="47">
        <f t="shared" si="8"/>
        <v>1.9495</v>
      </c>
      <c r="M8" s="47">
        <f t="shared" si="9"/>
        <v>6.09017355371901</v>
      </c>
      <c r="N8" s="47">
        <f t="shared" si="10"/>
        <v>3.80366335903267</v>
      </c>
      <c r="O8" s="48">
        <f t="shared" si="11"/>
        <v>0.0975548437812944</v>
      </c>
      <c r="P8" s="3"/>
      <c r="Q8" s="48">
        <f t="shared" si="12"/>
        <v>0.258197335059239</v>
      </c>
      <c r="R8" s="47">
        <f t="shared" si="13"/>
        <v>4.93912751677852</v>
      </c>
      <c r="S8" s="48">
        <f t="shared" si="14"/>
        <v>0.126676776526764</v>
      </c>
      <c r="T8" s="47">
        <f t="shared" si="20"/>
        <v>0.866884835542736</v>
      </c>
      <c r="U8" s="48">
        <f t="shared" si="15"/>
        <v>0.0222335171978132</v>
      </c>
      <c r="V8" s="3"/>
      <c r="W8" s="48">
        <f t="shared" si="16"/>
        <v>0.258197335059239</v>
      </c>
      <c r="X8" s="47">
        <f t="shared" si="17"/>
        <v>2.87003355704698</v>
      </c>
      <c r="Y8" s="48">
        <f t="shared" si="18"/>
        <v>0.0736094782520385</v>
      </c>
      <c r="Z8" s="47">
        <f t="shared" si="21"/>
        <v>2.93597879527428</v>
      </c>
      <c r="AA8" s="48">
        <f t="shared" si="19"/>
        <v>0.0753008154725386</v>
      </c>
      <c r="AB8" s="3"/>
    </row>
    <row r="9" s="35" customFormat="1" ht="16.5" customHeight="1" spans="1:28">
      <c r="A9" s="37"/>
      <c r="B9" s="49">
        <f>B17</f>
        <v>39.99</v>
      </c>
      <c r="C9" s="50">
        <f t="shared" si="0"/>
        <v>10.0671140939597</v>
      </c>
      <c r="D9" s="51">
        <f t="shared" si="1"/>
        <v>0.25174078754588</v>
      </c>
      <c r="E9" s="50">
        <f t="shared" si="2"/>
        <v>2.00234899328859</v>
      </c>
      <c r="F9" s="51">
        <f t="shared" si="3"/>
        <v>0.0500712426428755</v>
      </c>
      <c r="G9" s="49">
        <f t="shared" si="4"/>
        <v>4.16</v>
      </c>
      <c r="H9" s="50">
        <f t="shared" si="5"/>
        <v>5.9985</v>
      </c>
      <c r="I9" s="50">
        <v>0</v>
      </c>
      <c r="J9" s="50">
        <f t="shared" si="6"/>
        <v>3.999</v>
      </c>
      <c r="K9" s="50">
        <f t="shared" si="7"/>
        <v>1.1997</v>
      </c>
      <c r="L9" s="50">
        <f t="shared" si="8"/>
        <v>1.9995</v>
      </c>
      <c r="M9" s="50">
        <f t="shared" si="9"/>
        <v>6.24637190082645</v>
      </c>
      <c r="N9" s="50">
        <f t="shared" si="10"/>
        <v>4.31746501192523</v>
      </c>
      <c r="O9" s="51">
        <f t="shared" si="11"/>
        <v>0.107963616202181</v>
      </c>
      <c r="P9" s="3"/>
      <c r="Q9" s="51">
        <f t="shared" si="12"/>
        <v>0.25174078754588</v>
      </c>
      <c r="R9" s="50">
        <f t="shared" si="13"/>
        <v>4.93912751677852</v>
      </c>
      <c r="S9" s="51">
        <f t="shared" si="14"/>
        <v>0.12350906518576</v>
      </c>
      <c r="T9" s="50">
        <f t="shared" si="20"/>
        <v>1.3806864884353</v>
      </c>
      <c r="U9" s="51">
        <f t="shared" si="15"/>
        <v>0.0345257936592973</v>
      </c>
      <c r="V9" s="3"/>
      <c r="W9" s="51">
        <f t="shared" si="16"/>
        <v>0.25174078754588</v>
      </c>
      <c r="X9" s="50">
        <f t="shared" si="17"/>
        <v>2.87003355704698</v>
      </c>
      <c r="Y9" s="51">
        <f t="shared" si="18"/>
        <v>0.0717687811214549</v>
      </c>
      <c r="Z9" s="50">
        <f t="shared" si="21"/>
        <v>3.44978044816684</v>
      </c>
      <c r="AA9" s="51">
        <f t="shared" si="19"/>
        <v>0.086266077723602</v>
      </c>
      <c r="AB9" s="3"/>
    </row>
    <row r="10" s="35" customFormat="1" ht="16.5" customHeight="1" spans="1:28">
      <c r="A10" s="37"/>
      <c r="B10" s="46">
        <f>B9+$B$2</f>
        <v>40.99</v>
      </c>
      <c r="C10" s="47">
        <f t="shared" si="0"/>
        <v>10.0671140939597</v>
      </c>
      <c r="D10" s="48">
        <f t="shared" si="1"/>
        <v>0.245599270406434</v>
      </c>
      <c r="E10" s="47">
        <f t="shared" si="2"/>
        <v>2.00234899328859</v>
      </c>
      <c r="F10" s="48">
        <f t="shared" si="3"/>
        <v>0.0488496948838397</v>
      </c>
      <c r="G10" s="46">
        <f t="shared" si="4"/>
        <v>4.16</v>
      </c>
      <c r="H10" s="47">
        <f t="shared" si="5"/>
        <v>6.1485</v>
      </c>
      <c r="I10" s="47">
        <v>0</v>
      </c>
      <c r="J10" s="47">
        <f t="shared" si="6"/>
        <v>4.099</v>
      </c>
      <c r="K10" s="47">
        <f t="shared" si="7"/>
        <v>1.2297</v>
      </c>
      <c r="L10" s="47">
        <f t="shared" si="8"/>
        <v>2.0495</v>
      </c>
      <c r="M10" s="47">
        <f t="shared" si="9"/>
        <v>6.40257024793388</v>
      </c>
      <c r="N10" s="47">
        <f t="shared" si="10"/>
        <v>4.83126666481779</v>
      </c>
      <c r="O10" s="48">
        <f t="shared" si="11"/>
        <v>0.117864519756472</v>
      </c>
      <c r="P10" s="3"/>
      <c r="Q10" s="48">
        <f t="shared" si="12"/>
        <v>0.245599270406434</v>
      </c>
      <c r="R10" s="47">
        <f t="shared" si="13"/>
        <v>4.93912751677852</v>
      </c>
      <c r="S10" s="48">
        <f t="shared" si="14"/>
        <v>0.120495914046805</v>
      </c>
      <c r="T10" s="47">
        <f t="shared" si="20"/>
        <v>1.89448814132786</v>
      </c>
      <c r="U10" s="48">
        <f t="shared" si="15"/>
        <v>0.0462183005935073</v>
      </c>
      <c r="V10" s="3"/>
      <c r="W10" s="48">
        <f t="shared" si="16"/>
        <v>0.245599270406434</v>
      </c>
      <c r="X10" s="47">
        <f t="shared" si="17"/>
        <v>2.87003355704698</v>
      </c>
      <c r="Y10" s="48">
        <f t="shared" si="18"/>
        <v>0.0700178960001703</v>
      </c>
      <c r="Z10" s="47">
        <f t="shared" si="21"/>
        <v>3.9635821010594</v>
      </c>
      <c r="AA10" s="48">
        <f t="shared" si="19"/>
        <v>0.0966963186401416</v>
      </c>
      <c r="AB10" s="3"/>
    </row>
    <row r="11" s="35" customFormat="1" ht="16.5" customHeight="1" spans="1:28">
      <c r="A11" s="37"/>
      <c r="B11" s="46">
        <f>B10+$B$2</f>
        <v>41.99</v>
      </c>
      <c r="C11" s="47">
        <f t="shared" si="0"/>
        <v>10.0671140939597</v>
      </c>
      <c r="D11" s="48">
        <f t="shared" si="1"/>
        <v>0.239750276112401</v>
      </c>
      <c r="E11" s="47">
        <f t="shared" si="2"/>
        <v>2.00234899328859</v>
      </c>
      <c r="F11" s="48">
        <f t="shared" si="3"/>
        <v>0.0476863299187566</v>
      </c>
      <c r="G11" s="47">
        <f t="shared" si="4"/>
        <v>4.16</v>
      </c>
      <c r="H11" s="47">
        <f t="shared" si="5"/>
        <v>6.2985</v>
      </c>
      <c r="I11" s="47">
        <v>0</v>
      </c>
      <c r="J11" s="47">
        <f t="shared" si="6"/>
        <v>4.199</v>
      </c>
      <c r="K11" s="47">
        <f t="shared" si="7"/>
        <v>1.2597</v>
      </c>
      <c r="L11" s="47">
        <f t="shared" si="8"/>
        <v>2.0995</v>
      </c>
      <c r="M11" s="47">
        <f t="shared" si="9"/>
        <v>6.55876859504132</v>
      </c>
      <c r="N11" s="47">
        <f t="shared" si="10"/>
        <v>5.34506831771035</v>
      </c>
      <c r="O11" s="48">
        <f t="shared" si="11"/>
        <v>0.127293839431063</v>
      </c>
      <c r="P11" s="81"/>
      <c r="Q11" s="48">
        <f t="shared" si="12"/>
        <v>0.239750276112401</v>
      </c>
      <c r="R11" s="52">
        <f t="shared" si="13"/>
        <v>4.93912751677852</v>
      </c>
      <c r="S11" s="48">
        <f t="shared" si="14"/>
        <v>0.117626280466266</v>
      </c>
      <c r="T11" s="47">
        <f t="shared" si="20"/>
        <v>2.40828979422042</v>
      </c>
      <c r="U11" s="48">
        <f t="shared" si="15"/>
        <v>0.0573538888835537</v>
      </c>
      <c r="V11" s="81"/>
      <c r="W11" s="48">
        <f t="shared" si="16"/>
        <v>0.239750276112401</v>
      </c>
      <c r="X11" s="52">
        <f t="shared" si="17"/>
        <v>2.87003355704698</v>
      </c>
      <c r="Y11" s="48">
        <f t="shared" si="18"/>
        <v>0.0683504062168845</v>
      </c>
      <c r="Z11" s="47">
        <f t="shared" si="21"/>
        <v>4.47738375395196</v>
      </c>
      <c r="AA11" s="48">
        <f t="shared" si="19"/>
        <v>0.106629763132936</v>
      </c>
      <c r="AB11" s="3"/>
    </row>
    <row r="12" s="35" customFormat="1" ht="16.5" customHeight="1" spans="1:28">
      <c r="A12" s="37"/>
      <c r="B12" s="46">
        <f>B11+$B$2</f>
        <v>42.99</v>
      </c>
      <c r="C12" s="47">
        <f t="shared" si="0"/>
        <v>10.0671140939597</v>
      </c>
      <c r="D12" s="48">
        <f t="shared" si="1"/>
        <v>0.234173391345888</v>
      </c>
      <c r="E12" s="47">
        <f t="shared" si="2"/>
        <v>2.00234899328859</v>
      </c>
      <c r="F12" s="48">
        <f t="shared" si="3"/>
        <v>0.0465770875386971</v>
      </c>
      <c r="G12" s="46">
        <f t="shared" si="4"/>
        <v>4.16</v>
      </c>
      <c r="H12" s="47">
        <f t="shared" si="5"/>
        <v>6.4485</v>
      </c>
      <c r="I12" s="47">
        <v>0</v>
      </c>
      <c r="J12" s="47">
        <f t="shared" si="6"/>
        <v>4.299</v>
      </c>
      <c r="K12" s="47">
        <f t="shared" si="7"/>
        <v>1.2897</v>
      </c>
      <c r="L12" s="47">
        <f t="shared" si="8"/>
        <v>2.1495</v>
      </c>
      <c r="M12" s="47">
        <f t="shared" si="9"/>
        <v>6.71496694214876</v>
      </c>
      <c r="N12" s="47">
        <f t="shared" si="10"/>
        <v>5.85886997060292</v>
      </c>
      <c r="O12" s="48">
        <f t="shared" si="11"/>
        <v>0.136284484080087</v>
      </c>
      <c r="P12" s="81"/>
      <c r="Q12" s="48">
        <f t="shared" si="12"/>
        <v>0.234173391345888</v>
      </c>
      <c r="R12" s="52">
        <f t="shared" si="13"/>
        <v>4.93912751677852</v>
      </c>
      <c r="S12" s="48">
        <f t="shared" si="14"/>
        <v>0.11489014926212</v>
      </c>
      <c r="T12" s="47">
        <f t="shared" si="20"/>
        <v>2.92209144711299</v>
      </c>
      <c r="U12" s="48">
        <f t="shared" si="15"/>
        <v>0.0679714223566641</v>
      </c>
      <c r="V12" s="81"/>
      <c r="W12" s="48">
        <f t="shared" si="16"/>
        <v>0.234173391345888</v>
      </c>
      <c r="X12" s="52">
        <f t="shared" si="17"/>
        <v>2.87003355704698</v>
      </c>
      <c r="Y12" s="48">
        <f t="shared" si="18"/>
        <v>0.0667604921387993</v>
      </c>
      <c r="Z12" s="47">
        <f t="shared" si="21"/>
        <v>4.99118540684453</v>
      </c>
      <c r="AA12" s="48">
        <f t="shared" si="19"/>
        <v>0.116101079479984</v>
      </c>
      <c r="AB12" s="3"/>
    </row>
    <row r="13" s="35" customFormat="1" ht="16.5" customHeight="1" spans="1:28">
      <c r="A13" s="37"/>
      <c r="B13" s="46">
        <f>B12+$B$2</f>
        <v>43.99</v>
      </c>
      <c r="C13" s="47">
        <f t="shared" si="0"/>
        <v>10.0671140939597</v>
      </c>
      <c r="D13" s="48">
        <f t="shared" si="1"/>
        <v>0.228850058967032</v>
      </c>
      <c r="E13" s="47">
        <f t="shared" si="2"/>
        <v>2.00234899328859</v>
      </c>
      <c r="F13" s="48">
        <f t="shared" si="3"/>
        <v>0.0455182767285426</v>
      </c>
      <c r="G13" s="46">
        <f t="shared" si="4"/>
        <v>4.16</v>
      </c>
      <c r="H13" s="47">
        <f t="shared" si="5"/>
        <v>6.5985</v>
      </c>
      <c r="I13" s="47">
        <v>0</v>
      </c>
      <c r="J13" s="47">
        <f t="shared" si="6"/>
        <v>4.399</v>
      </c>
      <c r="K13" s="47">
        <f t="shared" si="7"/>
        <v>1.3197</v>
      </c>
      <c r="L13" s="47">
        <f t="shared" si="8"/>
        <v>2.1995</v>
      </c>
      <c r="M13" s="47">
        <f t="shared" si="9"/>
        <v>6.8711652892562</v>
      </c>
      <c r="N13" s="47">
        <f t="shared" si="10"/>
        <v>6.37267162349548</v>
      </c>
      <c r="O13" s="48">
        <f t="shared" si="11"/>
        <v>0.144866370163571</v>
      </c>
      <c r="P13" s="81"/>
      <c r="Q13" s="48">
        <f t="shared" si="12"/>
        <v>0.228850058967032</v>
      </c>
      <c r="R13" s="52">
        <f t="shared" si="13"/>
        <v>4.93912751677852</v>
      </c>
      <c r="S13" s="48">
        <f t="shared" si="14"/>
        <v>0.112278415930405</v>
      </c>
      <c r="T13" s="47">
        <f t="shared" si="20"/>
        <v>3.43589310000555</v>
      </c>
      <c r="U13" s="48">
        <f t="shared" si="15"/>
        <v>0.0781062309617082</v>
      </c>
      <c r="V13" s="81"/>
      <c r="W13" s="48">
        <f t="shared" si="16"/>
        <v>0.228850058967032</v>
      </c>
      <c r="X13" s="52">
        <f t="shared" si="17"/>
        <v>2.87003355704698</v>
      </c>
      <c r="Y13" s="48">
        <f t="shared" si="18"/>
        <v>0.0652428633109111</v>
      </c>
      <c r="Z13" s="47">
        <f t="shared" si="21"/>
        <v>5.50498705973709</v>
      </c>
      <c r="AA13" s="48">
        <f t="shared" si="19"/>
        <v>0.125141783581202</v>
      </c>
      <c r="AB13" s="3"/>
    </row>
    <row r="14" s="35" customFormat="1" ht="16.5" customHeight="1" spans="1:28">
      <c r="A14" s="37"/>
      <c r="B14" s="46">
        <f>B13+$B$2</f>
        <v>44.99</v>
      </c>
      <c r="C14" s="52">
        <f t="shared" si="0"/>
        <v>10.0671140939597</v>
      </c>
      <c r="D14" s="53">
        <f t="shared" si="1"/>
        <v>0.223763371726155</v>
      </c>
      <c r="E14" s="52">
        <f t="shared" si="2"/>
        <v>2.00234899328859</v>
      </c>
      <c r="F14" s="53">
        <f t="shared" si="3"/>
        <v>0.0445065346363323</v>
      </c>
      <c r="G14" s="46">
        <f t="shared" si="4"/>
        <v>4.16</v>
      </c>
      <c r="H14" s="52">
        <f t="shared" si="5"/>
        <v>6.7485</v>
      </c>
      <c r="I14" s="52">
        <v>0</v>
      </c>
      <c r="J14" s="47">
        <f t="shared" si="6"/>
        <v>4.499</v>
      </c>
      <c r="K14" s="52">
        <f t="shared" si="7"/>
        <v>1.3497</v>
      </c>
      <c r="L14" s="47">
        <f t="shared" si="8"/>
        <v>2.2495</v>
      </c>
      <c r="M14" s="47">
        <f t="shared" si="9"/>
        <v>7.02736363636364</v>
      </c>
      <c r="N14" s="47">
        <f t="shared" si="10"/>
        <v>6.88647327638804</v>
      </c>
      <c r="O14" s="53">
        <f t="shared" si="11"/>
        <v>0.153066754309581</v>
      </c>
      <c r="P14" s="81"/>
      <c r="Q14" s="48">
        <f t="shared" si="12"/>
        <v>0.223763371726155</v>
      </c>
      <c r="R14" s="52">
        <f t="shared" si="13"/>
        <v>4.93912751677852</v>
      </c>
      <c r="S14" s="48">
        <f t="shared" si="14"/>
        <v>0.109782785436286</v>
      </c>
      <c r="T14" s="47">
        <f t="shared" si="20"/>
        <v>3.94969475289811</v>
      </c>
      <c r="U14" s="48">
        <f t="shared" si="15"/>
        <v>0.0877905035096268</v>
      </c>
      <c r="V14" s="81"/>
      <c r="W14" s="48">
        <f t="shared" si="16"/>
        <v>0.223763371726155</v>
      </c>
      <c r="X14" s="52">
        <f t="shared" si="17"/>
        <v>2.87003355704698</v>
      </c>
      <c r="Y14" s="48">
        <f t="shared" si="18"/>
        <v>0.0637926996454096</v>
      </c>
      <c r="Z14" s="47">
        <f t="shared" si="21"/>
        <v>6.01878871262966</v>
      </c>
      <c r="AA14" s="48">
        <f t="shared" si="19"/>
        <v>0.133780589300504</v>
      </c>
      <c r="AB14" s="3"/>
    </row>
    <row r="15" ht="16.5" customHeight="1" spans="2:28">
      <c r="B15" s="54"/>
      <c r="C15" s="3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21" customHeight="1" spans="2:28">
      <c r="B16" s="55" t="s">
        <v>225</v>
      </c>
      <c r="C16" s="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ht="24.75" customHeight="1" spans="2:28">
      <c r="B17" s="56">
        <v>39.99</v>
      </c>
      <c r="C17" s="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ht="16.5" customHeight="1" spans="2:28">
      <c r="B18" s="57"/>
      <c r="C18" s="58" t="s">
        <v>199</v>
      </c>
      <c r="D18" s="59"/>
      <c r="E18" s="59" t="s">
        <v>247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ht="14.25" customHeight="1" spans="2:28">
      <c r="B19" s="60" t="s">
        <v>213</v>
      </c>
      <c r="C19" s="61">
        <v>75</v>
      </c>
      <c r="D19" s="62"/>
      <c r="E19" s="63">
        <f>C19/$C$23</f>
        <v>10.0671140939597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ht="16.5" customHeight="1" spans="2:28">
      <c r="B20" s="64" t="s">
        <v>227</v>
      </c>
      <c r="C20" s="65">
        <f>MAX(C28*C32,C27*C32)</f>
        <v>14.9175</v>
      </c>
      <c r="D20" s="62"/>
      <c r="E20" s="63">
        <f>C20/$C$23</f>
        <v>2.00234899328859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ht="16.5" customHeight="1" spans="2:28">
      <c r="B21" s="66" t="s">
        <v>228</v>
      </c>
      <c r="C21" s="65">
        <f>MAX(C27*C33,C28*C33)</f>
        <v>36.7965</v>
      </c>
      <c r="D21" s="62"/>
      <c r="E21" s="63">
        <f>C21/$C$23</f>
        <v>4.93912751677852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ht="16.5" customHeight="1" spans="2:28">
      <c r="B22" s="66" t="s">
        <v>229</v>
      </c>
      <c r="C22" s="65">
        <f>MAX(C34*C27,C34*C28)</f>
        <v>21.38175</v>
      </c>
      <c r="D22" s="62"/>
      <c r="E22" s="63">
        <f>C22/$C$23</f>
        <v>2.87003355704698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ht="14.25" customHeight="1" spans="2:28">
      <c r="B23" s="67" t="s">
        <v>16</v>
      </c>
      <c r="C23" s="68">
        <v>7.45</v>
      </c>
      <c r="D23" s="69"/>
      <c r="E23" s="57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6.5" customHeight="1" spans="2:28">
      <c r="B24" s="67" t="s">
        <v>230</v>
      </c>
      <c r="C24" s="68">
        <v>25.5</v>
      </c>
      <c r="D24" s="57"/>
      <c r="E24" s="57" t="s">
        <v>231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6.5" customHeight="1" spans="2:28">
      <c r="B25" s="67" t="s">
        <v>232</v>
      </c>
      <c r="C25" s="68">
        <v>19.5</v>
      </c>
      <c r="D25" s="57"/>
      <c r="E25" s="57" t="s">
        <v>231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ht="16.5" customHeight="1" spans="2:28">
      <c r="B26" s="67" t="s">
        <v>233</v>
      </c>
      <c r="C26" s="68">
        <v>12</v>
      </c>
      <c r="D26" s="57"/>
      <c r="E26" s="57" t="s">
        <v>231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ht="14.25" customHeight="1" spans="2:28">
      <c r="B27" s="60" t="s">
        <v>234</v>
      </c>
      <c r="C27" s="70">
        <v>0.81</v>
      </c>
      <c r="D27" s="57"/>
      <c r="E27" s="57" t="s">
        <v>235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 spans="2:28">
      <c r="B28" s="60" t="s">
        <v>236</v>
      </c>
      <c r="C28" s="70">
        <f>C24*C25*C26/6000</f>
        <v>0.9945</v>
      </c>
      <c r="D28" s="57"/>
      <c r="E28" s="57" t="s">
        <v>235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4.25" customHeight="1" spans="2:28">
      <c r="B29" s="60" t="s">
        <v>59</v>
      </c>
      <c r="C29" s="70">
        <v>0.05</v>
      </c>
      <c r="D29" s="57"/>
      <c r="E29" s="57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6.5" customHeight="1" spans="2:28">
      <c r="B30" s="54"/>
      <c r="C30" s="3"/>
      <c r="D30" s="54"/>
      <c r="E30" s="71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6.5" customHeight="1" spans="2:28">
      <c r="B31" s="72" t="s">
        <v>237</v>
      </c>
      <c r="C31" s="69" t="s">
        <v>238</v>
      </c>
      <c r="D31" s="54"/>
      <c r="E31" s="7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4.25" customHeight="1" spans="2:28">
      <c r="B32" s="73" t="s">
        <v>239</v>
      </c>
      <c r="C32" s="74">
        <v>15</v>
      </c>
      <c r="D32" s="54"/>
      <c r="E32" s="71" t="s">
        <v>240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ht="14.25" customHeight="1" spans="2:28">
      <c r="B33" s="73" t="s">
        <v>241</v>
      </c>
      <c r="C33" s="74">
        <v>37</v>
      </c>
      <c r="D33" s="54"/>
      <c r="E33" s="71" t="s">
        <v>240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ht="16.5" customHeight="1" spans="2:28">
      <c r="B34" s="73" t="s">
        <v>246</v>
      </c>
      <c r="C34" s="74">
        <v>21.5</v>
      </c>
      <c r="D34" s="54"/>
      <c r="E34" s="71" t="s">
        <v>240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ht="16.5" customHeight="1" spans="2:28">
      <c r="B35" s="54"/>
      <c r="C35" s="3"/>
      <c r="D35" s="54"/>
      <c r="E35" s="71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ht="14.25" customHeight="1" spans="2:28">
      <c r="B36" s="54" t="s">
        <v>243</v>
      </c>
      <c r="C36" s="75">
        <v>4.16</v>
      </c>
      <c r="D36" s="54"/>
      <c r="E36" s="71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ht="16.5" customHeight="1" spans="2:28">
      <c r="B37" s="54"/>
      <c r="C37" s="76"/>
      <c r="D37" s="54"/>
      <c r="E37" s="71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ht="16.5" customHeight="1" spans="2:28">
      <c r="B38" s="54"/>
      <c r="C38" s="76"/>
      <c r="D38" s="54"/>
      <c r="E38" s="71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N5:O14 T5:U14 Z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B2:XEH31"/>
  <sheetViews>
    <sheetView showGridLines="0" workbookViewId="0">
      <selection activeCell="J39" sqref="J39"/>
    </sheetView>
  </sheetViews>
  <sheetFormatPr defaultColWidth="9" defaultRowHeight="16.5" customHeight="1"/>
  <cols>
    <col min="1" max="1" width="2.625" style="3" customWidth="1"/>
    <col min="2" max="2" width="10.375" style="3" customWidth="1"/>
    <col min="3" max="3" width="9.375" style="3" customWidth="1"/>
    <col min="4" max="4" width="11.875" style="3" customWidth="1"/>
    <col min="5" max="5" width="7.375" style="3" customWidth="1"/>
    <col min="6" max="6" width="24.625" style="3" customWidth="1"/>
    <col min="7" max="8" width="10.375" style="3" customWidth="1"/>
    <col min="9" max="9" width="8.125" style="3" customWidth="1"/>
    <col min="10" max="10" width="8" style="3" customWidth="1"/>
    <col min="11" max="11" width="10.375" style="3" customWidth="1"/>
    <col min="12" max="12" width="15.125" style="3" customWidth="1"/>
    <col min="13" max="14" width="10.375" style="3" customWidth="1"/>
    <col min="15" max="15" width="8.125" style="3" customWidth="1"/>
    <col min="16" max="16" width="10.375" style="3" customWidth="1"/>
    <col min="17" max="17" width="8" style="3" customWidth="1"/>
    <col min="18" max="40" width="9" style="3"/>
  </cols>
  <sheetData>
    <row r="2" s="1" customFormat="1" ht="18" customHeight="1" spans="2:11">
      <c r="B2" s="4" t="s">
        <v>248</v>
      </c>
      <c r="C2" s="4" t="s">
        <v>249</v>
      </c>
      <c r="D2" s="4" t="s">
        <v>250</v>
      </c>
      <c r="E2" s="4" t="s">
        <v>16</v>
      </c>
      <c r="F2" s="5"/>
      <c r="K2" s="23"/>
    </row>
    <row r="3" s="1" customFormat="1" ht="18" customHeight="1" spans="2:11">
      <c r="B3" s="6">
        <f>'毛利测算表-US'!C19</f>
        <v>75</v>
      </c>
      <c r="C3" s="7">
        <v>10.9</v>
      </c>
      <c r="D3" s="8">
        <f>'毛利测算表-US'!C36</f>
        <v>6.37</v>
      </c>
      <c r="E3" s="7">
        <f>'毛利测算表-US'!C23</f>
        <v>7.15</v>
      </c>
      <c r="F3" s="5"/>
      <c r="K3" s="23"/>
    </row>
    <row r="4" s="1" customFormat="1" ht="21.95" customHeight="1"/>
    <row r="5" s="1" customFormat="1" ht="45.95" customHeight="1" spans="2:15">
      <c r="B5" s="9" t="s">
        <v>251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4"/>
    </row>
    <row r="6" s="2" customFormat="1" ht="42" customHeight="1" spans="2:19">
      <c r="B6" s="11" t="s">
        <v>252</v>
      </c>
      <c r="C6" s="11" t="s">
        <v>253</v>
      </c>
      <c r="D6" s="11" t="s">
        <v>65</v>
      </c>
      <c r="E6" s="11" t="s">
        <v>254</v>
      </c>
      <c r="F6" s="11" t="s">
        <v>255</v>
      </c>
      <c r="G6" s="11" t="s">
        <v>256</v>
      </c>
      <c r="H6" s="11" t="s">
        <v>135</v>
      </c>
      <c r="I6" s="25" t="s">
        <v>257</v>
      </c>
      <c r="J6" s="26" t="s">
        <v>258</v>
      </c>
      <c r="K6" s="11" t="s">
        <v>259</v>
      </c>
      <c r="L6" s="11" t="s">
        <v>260</v>
      </c>
      <c r="M6" s="11" t="s">
        <v>261</v>
      </c>
      <c r="N6" s="11" t="s">
        <v>262</v>
      </c>
      <c r="O6" s="11" t="s">
        <v>58</v>
      </c>
      <c r="P6" s="27"/>
      <c r="Q6" s="27"/>
      <c r="R6" s="27"/>
      <c r="S6" s="27"/>
    </row>
    <row r="7" s="1" customFormat="1" ht="33.95" customHeight="1" spans="2:19">
      <c r="B7" s="12"/>
      <c r="C7" s="7">
        <v>35.99</v>
      </c>
      <c r="D7" s="13">
        <f>B3/E3</f>
        <v>10.4895104895105</v>
      </c>
      <c r="E7" s="13">
        <f>C3/E3</f>
        <v>1.52447552447552</v>
      </c>
      <c r="F7" s="13">
        <f>C7*0.15</f>
        <v>5.3985</v>
      </c>
      <c r="G7" s="14">
        <f>D3</f>
        <v>6.37</v>
      </c>
      <c r="H7" s="13">
        <f>C7-D7-E7-F7-G7</f>
        <v>12.207513986014</v>
      </c>
      <c r="I7" s="28">
        <f>H7/C7</f>
        <v>0.339191830675576</v>
      </c>
      <c r="J7" s="29">
        <v>5</v>
      </c>
      <c r="K7" s="30">
        <f>J7-M10</f>
        <v>1.65</v>
      </c>
      <c r="L7" s="30">
        <f>K7*C7</f>
        <v>59.3835</v>
      </c>
      <c r="M7" s="13">
        <f>H7*K7</f>
        <v>20.1423980769231</v>
      </c>
      <c r="N7" s="13">
        <f>O7*L7</f>
        <v>2.969175</v>
      </c>
      <c r="O7" s="31">
        <v>0.05</v>
      </c>
      <c r="P7" s="27"/>
      <c r="Q7" s="27"/>
      <c r="R7" s="27"/>
      <c r="S7" s="27"/>
    </row>
    <row r="8" s="1" customFormat="1" ht="12" customHeight="1" spans="2:40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="2" customFormat="1" ht="42" customHeight="1" spans="2:19">
      <c r="B9" s="16" t="s">
        <v>263</v>
      </c>
      <c r="C9" s="16" t="s">
        <v>253</v>
      </c>
      <c r="D9" s="16" t="s">
        <v>65</v>
      </c>
      <c r="E9" s="16" t="s">
        <v>254</v>
      </c>
      <c r="F9" s="16" t="s">
        <v>264</v>
      </c>
      <c r="G9" s="16" t="s">
        <v>265</v>
      </c>
      <c r="H9" s="16" t="s">
        <v>256</v>
      </c>
      <c r="I9" s="16" t="s">
        <v>266</v>
      </c>
      <c r="J9" s="16" t="s">
        <v>70</v>
      </c>
      <c r="K9" s="32" t="s">
        <v>74</v>
      </c>
      <c r="L9" s="16" t="s">
        <v>267</v>
      </c>
      <c r="M9" s="16" t="s">
        <v>268</v>
      </c>
      <c r="N9" s="16" t="s">
        <v>260</v>
      </c>
      <c r="O9" s="16" t="s">
        <v>261</v>
      </c>
      <c r="P9" s="16" t="s">
        <v>262</v>
      </c>
      <c r="Q9" s="16" t="s">
        <v>58</v>
      </c>
      <c r="R9" s="27"/>
      <c r="S9" s="27"/>
    </row>
    <row r="10" s="1" customFormat="1" ht="39" customHeight="1" spans="2:19">
      <c r="B10" s="12"/>
      <c r="C10" s="13">
        <f>C7-C7*F10</f>
        <v>28.792</v>
      </c>
      <c r="D10" s="13">
        <f>D7</f>
        <v>10.4895104895105</v>
      </c>
      <c r="E10" s="13">
        <f>E7</f>
        <v>1.52447552447552</v>
      </c>
      <c r="F10" s="17">
        <v>0.2</v>
      </c>
      <c r="G10" s="13">
        <f>C10*0.15</f>
        <v>4.3188</v>
      </c>
      <c r="H10" s="14">
        <f>G7</f>
        <v>6.37</v>
      </c>
      <c r="I10" s="33">
        <v>0.6</v>
      </c>
      <c r="J10" s="13">
        <f>C10-D10-E10-G10-H10-I10</f>
        <v>5.48921398601399</v>
      </c>
      <c r="K10" s="28">
        <f>J10/C10</f>
        <v>0.190650666366143</v>
      </c>
      <c r="L10" s="17">
        <v>0.67</v>
      </c>
      <c r="M10" s="30">
        <f>J7*L10</f>
        <v>3.35</v>
      </c>
      <c r="N10" s="30">
        <f>M10*C10</f>
        <v>96.4532</v>
      </c>
      <c r="O10" s="13">
        <f>M10*J10</f>
        <v>18.3888668531469</v>
      </c>
      <c r="P10" s="13">
        <f>Q10*N10</f>
        <v>4.82266</v>
      </c>
      <c r="Q10" s="28">
        <f>O7</f>
        <v>0.05</v>
      </c>
      <c r="R10" s="27"/>
      <c r="S10" s="27"/>
    </row>
    <row r="11" s="1" customFormat="1" ht="12" customHeight="1"/>
    <row r="12" s="1" customFormat="1" ht="32.1" customHeight="1" spans="2:9">
      <c r="B12" s="4" t="s">
        <v>269</v>
      </c>
      <c r="C12" s="4" t="s">
        <v>260</v>
      </c>
      <c r="D12" s="4" t="s">
        <v>261</v>
      </c>
      <c r="E12" s="4" t="s">
        <v>146</v>
      </c>
      <c r="F12" s="4" t="s">
        <v>270</v>
      </c>
      <c r="G12" s="4" t="s">
        <v>271</v>
      </c>
      <c r="H12" s="4" t="s">
        <v>91</v>
      </c>
      <c r="I12" s="28" t="s">
        <v>147</v>
      </c>
    </row>
    <row r="13" s="1" customFormat="1" ht="32.1" customHeight="1" spans="2:9">
      <c r="B13" s="18" t="s">
        <v>272</v>
      </c>
      <c r="C13" s="19">
        <f>L7+N10</f>
        <v>155.8367</v>
      </c>
      <c r="D13" s="19">
        <f>M7+O10</f>
        <v>38.53126493007</v>
      </c>
      <c r="E13" s="20">
        <v>25</v>
      </c>
      <c r="F13" s="19">
        <f>P10+N7</f>
        <v>7.791835</v>
      </c>
      <c r="G13" s="19">
        <f>D13-E13-F13</f>
        <v>5.73942993006995</v>
      </c>
      <c r="H13" s="21">
        <f>G13/C13</f>
        <v>0.0368297707155628</v>
      </c>
      <c r="I13" s="21">
        <f>E13/C13</f>
        <v>0.160424341634544</v>
      </c>
    </row>
    <row r="14" s="1" customFormat="1" ht="33" customHeight="1" spans="2:9">
      <c r="B14" s="18" t="s">
        <v>153</v>
      </c>
      <c r="C14" s="19">
        <f>C13*7</f>
        <v>1090.8569</v>
      </c>
      <c r="D14" s="19">
        <f>D13*7</f>
        <v>269.71885451049</v>
      </c>
      <c r="E14" s="22">
        <f>E13*7</f>
        <v>175</v>
      </c>
      <c r="F14" s="19">
        <f>F13*7</f>
        <v>54.542845</v>
      </c>
      <c r="G14" s="19">
        <f>D14-E14-F14</f>
        <v>40.1760095104897</v>
      </c>
      <c r="H14" s="21">
        <f>G14/C14</f>
        <v>0.0368297707155628</v>
      </c>
      <c r="I14" s="21">
        <f>E14/C14</f>
        <v>0.160424341634544</v>
      </c>
    </row>
    <row r="15" s="1" customFormat="1" ht="33" customHeight="1" spans="2:12">
      <c r="B15" s="18" t="s">
        <v>273</v>
      </c>
      <c r="C15" s="19">
        <f>C13*10</f>
        <v>1558.367</v>
      </c>
      <c r="D15" s="19">
        <f>D13*10</f>
        <v>385.312649300699</v>
      </c>
      <c r="E15" s="22">
        <f>E13*10</f>
        <v>250</v>
      </c>
      <c r="F15" s="19">
        <f>F13*10</f>
        <v>77.91835</v>
      </c>
      <c r="G15" s="19">
        <f>D15-E15-F15</f>
        <v>57.3942993006995</v>
      </c>
      <c r="H15" s="21">
        <f>G15/C15</f>
        <v>0.0368297707155628</v>
      </c>
      <c r="I15" s="21">
        <f>E15/C15</f>
        <v>0.160424341634544</v>
      </c>
      <c r="L15" s="34" t="s">
        <v>151</v>
      </c>
    </row>
    <row r="16" s="1" customFormat="1" ht="33" customHeight="1" spans="2:9">
      <c r="B16" s="18" t="s">
        <v>274</v>
      </c>
      <c r="C16" s="19">
        <f>C13*15</f>
        <v>2337.5505</v>
      </c>
      <c r="D16" s="19">
        <f>D13*15</f>
        <v>577.968973951049</v>
      </c>
      <c r="E16" s="22">
        <f>E13*15</f>
        <v>375</v>
      </c>
      <c r="F16" s="19">
        <f>F13*15</f>
        <v>116.877525</v>
      </c>
      <c r="G16" s="19">
        <f>D16-E16-F16</f>
        <v>86.0914489510493</v>
      </c>
      <c r="H16" s="21">
        <f>G16/C16</f>
        <v>0.0368297707155628</v>
      </c>
      <c r="I16" s="21">
        <f>E16/C16</f>
        <v>0.160424341634544</v>
      </c>
    </row>
    <row r="17" s="1" customFormat="1" ht="33" customHeight="1" spans="2:9">
      <c r="B17" s="18" t="s">
        <v>275</v>
      </c>
      <c r="C17" s="19">
        <f>C13*30</f>
        <v>4675.101</v>
      </c>
      <c r="D17" s="19">
        <f>D13*30</f>
        <v>1155.9379479021</v>
      </c>
      <c r="E17" s="22">
        <f>E13*30</f>
        <v>750</v>
      </c>
      <c r="F17" s="19">
        <f>F13*30</f>
        <v>233.75505</v>
      </c>
      <c r="G17" s="19">
        <f>D17-E17-F17</f>
        <v>172.182897902099</v>
      </c>
      <c r="H17" s="21">
        <f>G17/C17</f>
        <v>0.0368297707155628</v>
      </c>
      <c r="I17" s="21">
        <f>E17/C17</f>
        <v>0.160424341634544</v>
      </c>
    </row>
    <row r="18" s="1" customFormat="1" ht="21.95" customHeight="1"/>
    <row r="19" s="1" customFormat="1" ht="45.95" customHeight="1" spans="2:15">
      <c r="B19" s="9" t="s">
        <v>276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4"/>
    </row>
    <row r="20" s="2" customFormat="1" ht="42" customHeight="1" spans="2:19">
      <c r="B20" s="11" t="s">
        <v>252</v>
      </c>
      <c r="C20" s="11" t="s">
        <v>253</v>
      </c>
      <c r="D20" s="11" t="s">
        <v>65</v>
      </c>
      <c r="E20" s="11" t="s">
        <v>254</v>
      </c>
      <c r="F20" s="11" t="s">
        <v>255</v>
      </c>
      <c r="G20" s="11" t="s">
        <v>256</v>
      </c>
      <c r="H20" s="11" t="s">
        <v>135</v>
      </c>
      <c r="I20" s="25" t="s">
        <v>257</v>
      </c>
      <c r="J20" s="26" t="s">
        <v>258</v>
      </c>
      <c r="K20" s="11" t="s">
        <v>259</v>
      </c>
      <c r="L20" s="11" t="s">
        <v>260</v>
      </c>
      <c r="M20" s="11" t="s">
        <v>261</v>
      </c>
      <c r="N20" s="11" t="s">
        <v>262</v>
      </c>
      <c r="O20" s="11" t="s">
        <v>58</v>
      </c>
      <c r="P20" s="27"/>
      <c r="Q20" s="27"/>
      <c r="R20" s="27"/>
      <c r="S20" s="27"/>
    </row>
    <row r="21" s="1" customFormat="1" ht="33.95" customHeight="1" spans="2:19">
      <c r="B21" s="12"/>
      <c r="C21" s="7">
        <v>39.99</v>
      </c>
      <c r="D21" s="13">
        <f>B3/E3</f>
        <v>10.4895104895105</v>
      </c>
      <c r="E21" s="13">
        <f>E7</f>
        <v>1.52447552447552</v>
      </c>
      <c r="F21" s="13">
        <f>C21*0.15</f>
        <v>5.9985</v>
      </c>
      <c r="G21" s="14">
        <f>D3</f>
        <v>6.37</v>
      </c>
      <c r="H21" s="13">
        <f>C21-D21-E21-F21-G21</f>
        <v>15.607513986014</v>
      </c>
      <c r="I21" s="28">
        <f>H21/C21</f>
        <v>0.390285421005601</v>
      </c>
      <c r="J21" s="29">
        <v>20</v>
      </c>
      <c r="K21" s="30">
        <f>J21-M24</f>
        <v>10</v>
      </c>
      <c r="L21" s="30">
        <f>K21*C21</f>
        <v>399.9</v>
      </c>
      <c r="M21" s="13">
        <f>H21*K21</f>
        <v>156.07513986014</v>
      </c>
      <c r="N21" s="13">
        <f>O21*L21</f>
        <v>19.995</v>
      </c>
      <c r="O21" s="31">
        <v>0.05</v>
      </c>
      <c r="P21" s="27"/>
      <c r="Q21" s="27"/>
      <c r="R21" s="27"/>
      <c r="S21" s="27"/>
    </row>
    <row r="22" s="1" customFormat="1" ht="12" customHeight="1"/>
    <row r="23" s="2" customFormat="1" ht="42" customHeight="1" spans="2:19">
      <c r="B23" s="16" t="s">
        <v>263</v>
      </c>
      <c r="C23" s="16" t="s">
        <v>253</v>
      </c>
      <c r="D23" s="16" t="s">
        <v>65</v>
      </c>
      <c r="E23" s="16" t="s">
        <v>254</v>
      </c>
      <c r="F23" s="16" t="s">
        <v>264</v>
      </c>
      <c r="G23" s="16" t="s">
        <v>265</v>
      </c>
      <c r="H23" s="16" t="s">
        <v>256</v>
      </c>
      <c r="I23" s="16" t="s">
        <v>266</v>
      </c>
      <c r="J23" s="16" t="s">
        <v>70</v>
      </c>
      <c r="K23" s="32" t="s">
        <v>74</v>
      </c>
      <c r="L23" s="16" t="s">
        <v>267</v>
      </c>
      <c r="M23" s="16" t="s">
        <v>268</v>
      </c>
      <c r="N23" s="16" t="s">
        <v>260</v>
      </c>
      <c r="O23" s="16" t="s">
        <v>261</v>
      </c>
      <c r="P23" s="16" t="s">
        <v>262</v>
      </c>
      <c r="Q23" s="16" t="s">
        <v>58</v>
      </c>
      <c r="R23" s="27"/>
      <c r="S23" s="27"/>
    </row>
    <row r="24" s="1" customFormat="1" ht="39" customHeight="1" spans="2:19">
      <c r="B24" s="12"/>
      <c r="C24" s="13">
        <f>C21-C21*F24</f>
        <v>35.991</v>
      </c>
      <c r="D24" s="13">
        <f>D21</f>
        <v>10.4895104895105</v>
      </c>
      <c r="E24" s="13">
        <f>E21</f>
        <v>1.52447552447552</v>
      </c>
      <c r="F24" s="17">
        <v>0.1</v>
      </c>
      <c r="G24" s="13">
        <f>C24*0.15</f>
        <v>5.39865</v>
      </c>
      <c r="H24" s="14">
        <f>G21</f>
        <v>6.37</v>
      </c>
      <c r="I24" s="7">
        <v>0.6</v>
      </c>
      <c r="J24" s="13">
        <f>C24-D24-E24-G24-H24-I24</f>
        <v>11.608363986014</v>
      </c>
      <c r="K24" s="28">
        <f>J24/C24</f>
        <v>0.322535188964296</v>
      </c>
      <c r="L24" s="17">
        <v>0.5</v>
      </c>
      <c r="M24" s="30">
        <f>J21*L24</f>
        <v>10</v>
      </c>
      <c r="N24" s="30">
        <f>M24*C24</f>
        <v>359.91</v>
      </c>
      <c r="O24" s="13">
        <f>M24*J24</f>
        <v>116.08363986014</v>
      </c>
      <c r="P24" s="13">
        <f>Q24*N24</f>
        <v>17.9955</v>
      </c>
      <c r="Q24" s="28">
        <f>O21</f>
        <v>0.05</v>
      </c>
      <c r="R24" s="27"/>
      <c r="S24" s="27"/>
    </row>
    <row r="25" s="1" customFormat="1" ht="12" customHeight="1"/>
    <row r="26" s="1" customFormat="1" ht="32.1" customHeight="1" spans="2:9">
      <c r="B26" s="4" t="s">
        <v>269</v>
      </c>
      <c r="C26" s="4" t="s">
        <v>260</v>
      </c>
      <c r="D26" s="4" t="s">
        <v>261</v>
      </c>
      <c r="E26" s="4" t="s">
        <v>146</v>
      </c>
      <c r="F26" s="4" t="s">
        <v>270</v>
      </c>
      <c r="G26" s="4" t="s">
        <v>271</v>
      </c>
      <c r="H26" s="4" t="s">
        <v>91</v>
      </c>
      <c r="I26" s="28" t="s">
        <v>147</v>
      </c>
    </row>
    <row r="27" s="1" customFormat="1" ht="32.1" customHeight="1" spans="2:9">
      <c r="B27" s="18" t="s">
        <v>272</v>
      </c>
      <c r="C27" s="19">
        <f>L21+N24</f>
        <v>759.81</v>
      </c>
      <c r="D27" s="19">
        <f>M21+O24</f>
        <v>272.15877972028</v>
      </c>
      <c r="E27" s="20">
        <v>60</v>
      </c>
      <c r="F27" s="19">
        <f>P24+N21</f>
        <v>37.9905</v>
      </c>
      <c r="G27" s="19">
        <f>D27-E27-F27</f>
        <v>174.16827972028</v>
      </c>
      <c r="H27" s="21">
        <f>G27/C27</f>
        <v>0.229226095629539</v>
      </c>
      <c r="I27" s="21">
        <f>E27/C27</f>
        <v>0.0789671101986023</v>
      </c>
    </row>
    <row r="28" s="1" customFormat="1" ht="33" customHeight="1" spans="2:9">
      <c r="B28" s="18" t="s">
        <v>153</v>
      </c>
      <c r="C28" s="19">
        <f>C27*7</f>
        <v>5318.67</v>
      </c>
      <c r="D28" s="19">
        <f>D27*7</f>
        <v>1905.11145804196</v>
      </c>
      <c r="E28" s="22">
        <f>E27*7</f>
        <v>420</v>
      </c>
      <c r="F28" s="19">
        <f>F27*7</f>
        <v>265.9335</v>
      </c>
      <c r="G28" s="19">
        <f>D28-E28-F28</f>
        <v>1219.17795804196</v>
      </c>
      <c r="H28" s="21">
        <f>G28/C28</f>
        <v>0.229226095629539</v>
      </c>
      <c r="I28" s="21">
        <f>E28/C28</f>
        <v>0.0789671101986023</v>
      </c>
    </row>
    <row r="29" s="1" customFormat="1" ht="33" customHeight="1" spans="2:9">
      <c r="B29" s="18" t="s">
        <v>273</v>
      </c>
      <c r="C29" s="19">
        <f>C27*10</f>
        <v>7598.1</v>
      </c>
      <c r="D29" s="19">
        <f>D27*10</f>
        <v>2721.5877972028</v>
      </c>
      <c r="E29" s="22">
        <f>E27*10</f>
        <v>600</v>
      </c>
      <c r="F29" s="19">
        <f>F27*10</f>
        <v>379.905</v>
      </c>
      <c r="G29" s="19">
        <f>D29-E29-F29</f>
        <v>1741.6827972028</v>
      </c>
      <c r="H29" s="21">
        <f>G29/C29</f>
        <v>0.229226095629539</v>
      </c>
      <c r="I29" s="21">
        <f>E29/C29</f>
        <v>0.0789671101986023</v>
      </c>
    </row>
    <row r="30" s="1" customFormat="1" ht="33" customHeight="1" spans="2:9">
      <c r="B30" s="18" t="s">
        <v>274</v>
      </c>
      <c r="C30" s="19">
        <f>C27*15</f>
        <v>11397.15</v>
      </c>
      <c r="D30" s="19">
        <f>D27*15</f>
        <v>4082.3816958042</v>
      </c>
      <c r="E30" s="22">
        <f>E27*15</f>
        <v>900</v>
      </c>
      <c r="F30" s="19">
        <f>F27*15</f>
        <v>569.8575</v>
      </c>
      <c r="G30" s="19">
        <f>D30-E30-F30</f>
        <v>2612.5241958042</v>
      </c>
      <c r="H30" s="21">
        <f>G30/C30</f>
        <v>0.229226095629539</v>
      </c>
      <c r="I30" s="21">
        <f>E30/C30</f>
        <v>0.0789671101986023</v>
      </c>
    </row>
    <row r="31" s="1" customFormat="1" ht="33" customHeight="1" spans="2:9">
      <c r="B31" s="18" t="s">
        <v>275</v>
      </c>
      <c r="C31" s="19">
        <f>C27*30</f>
        <v>22794.3</v>
      </c>
      <c r="D31" s="19">
        <f>D27*30</f>
        <v>8164.7633916084</v>
      </c>
      <c r="E31" s="22">
        <f>E27*30</f>
        <v>1800</v>
      </c>
      <c r="F31" s="19">
        <f>F27*30</f>
        <v>1139.715</v>
      </c>
      <c r="G31" s="19">
        <f>D31-E31-F31</f>
        <v>5225.04839160839</v>
      </c>
      <c r="H31" s="21">
        <f>G31/C31</f>
        <v>0.229226095629539</v>
      </c>
      <c r="I31" s="21">
        <f>E31/C31</f>
        <v>0.0789671101986023</v>
      </c>
    </row>
  </sheetData>
  <mergeCells count="7">
    <mergeCell ref="B5:O5"/>
    <mergeCell ref="B11:XEH11"/>
    <mergeCell ref="B19:O19"/>
    <mergeCell ref="B6:B7"/>
    <mergeCell ref="B9:B10"/>
    <mergeCell ref="B20:B21"/>
    <mergeCell ref="B23:B2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运营推广计划表</vt:lpstr>
      <vt:lpstr>首批与返单囤货数量预测表</vt:lpstr>
      <vt:lpstr>毛利测算表-US</vt:lpstr>
      <vt:lpstr>毛利测算表-UK</vt:lpstr>
      <vt:lpstr>毛利测算表-DE</vt:lpstr>
      <vt:lpstr>毛利测算表-IT</vt:lpstr>
      <vt:lpstr>毛利测算表-ES</vt:lpstr>
      <vt:lpstr>价格策略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WPS_1664800949</cp:lastModifiedBy>
  <dcterms:created xsi:type="dcterms:W3CDTF">2006-09-16T00:00:00Z</dcterms:created>
  <dcterms:modified xsi:type="dcterms:W3CDTF">2025-03-29T08:46:49Z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BAB76F579AB246E1BAC77118E1651F02_13</vt:lpwstr>
  </property>
  <property fmtid="{D5CDD505-2E9C-101B-9397-08002B2CF9AE}" pid="3" name="KSOProductBuildVer">
    <vt:lpwstr>2052-12.1.0.20305</vt:lpwstr>
  </property>
</Properties>
</file>