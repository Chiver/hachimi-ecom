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 firstSheet="2" activeTab="6"/>
  </bookViews>
  <sheets>
    <sheet name="各类目市场情况" sheetId="1" r:id="rId1"/>
    <sheet name="主营行业情况" sheetId="2" r:id="rId2"/>
    <sheet name="主营市场情况" sheetId="3" r:id="rId3"/>
    <sheet name="关键词类目分布" sheetId="4" r:id="rId4"/>
    <sheet name="具体产品分析" sheetId="5" r:id="rId5"/>
    <sheet name="店铺品类效果数据分析" sheetId="6" r:id="rId6"/>
    <sheet name="竞对产品分析" sheetId="8" r:id="rId7"/>
    <sheet name="Sheet1" sheetId="7" r:id="rId8"/>
  </sheets>
  <definedNames>
    <definedName name="_xlnm._FilterDatabase" localSheetId="0" hidden="1">各类目市场情况!$A$1:$N$223</definedName>
    <definedName name="_xlnm._FilterDatabase" localSheetId="1" hidden="1">主营行业情况!$H$1:$N$146</definedName>
    <definedName name="_xlnm._FilterDatabase" localSheetId="2" hidden="1">主营市场情况!$I$1:$O$303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<sst xmlns="http://schemas.openxmlformats.org/spreadsheetml/2006/main" count="2090" uniqueCount="695">
  <si>
    <t>一级类目</t>
  </si>
  <si>
    <t>二级类目</t>
  </si>
  <si>
    <t>三级类目</t>
  </si>
  <si>
    <t>搜索指数</t>
  </si>
  <si>
    <t>搜索涨幅</t>
  </si>
  <si>
    <t>点击率</t>
  </si>
  <si>
    <t>卖家规模指数</t>
  </si>
  <si>
    <t>竞争比</t>
  </si>
  <si>
    <t>Consumer Electronics</t>
  </si>
  <si>
    <t>Camera, Photo &amp; Accessories</t>
  </si>
  <si>
    <t>Photo Studio Accessories</t>
  </si>
  <si>
    <t>tripod</t>
  </si>
  <si>
    <t>Computer Hardware &amp; Software</t>
  </si>
  <si>
    <t>Laptops</t>
  </si>
  <si>
    <t>All in One Computers</t>
  </si>
  <si>
    <t>city mountain bike</t>
  </si>
  <si>
    <t/>
  </si>
  <si>
    <t>0%
0%</t>
  </si>
  <si>
    <t>Graphics Cards</t>
  </si>
  <si>
    <t>Commonly Used Accessories &amp; Parts</t>
  </si>
  <si>
    <t>Microphones</t>
  </si>
  <si>
    <t>hdd enclosure</t>
  </si>
  <si>
    <t>Video Cameras</t>
  </si>
  <si>
    <t>multifunction chargers</t>
  </si>
  <si>
    <t>Mounts</t>
  </si>
  <si>
    <t>surveillance &amp; ip camera</t>
  </si>
  <si>
    <t>Mini PC</t>
  </si>
  <si>
    <t>Screen Protectors</t>
  </si>
  <si>
    <t>kvm switch</t>
  </si>
  <si>
    <t>Desktops</t>
  </si>
  <si>
    <t>Mini Camcorders</t>
  </si>
  <si>
    <t>printers &amp; scanners</t>
  </si>
  <si>
    <t>background</t>
  </si>
  <si>
    <t>battery grip</t>
  </si>
  <si>
    <t>Drones Accessories</t>
  </si>
  <si>
    <t>flash diffusers</t>
  </si>
  <si>
    <t>Selfie Stick</t>
  </si>
  <si>
    <t>viewfinders</t>
  </si>
  <si>
    <t>Photographic Lighting</t>
  </si>
  <si>
    <t>used digital cameras</t>
  </si>
  <si>
    <t>Film Cameras</t>
  </si>
  <si>
    <t>hunting cameras</t>
  </si>
  <si>
    <t>Chargers,Batteries &amp; Power Supplies</t>
  </si>
  <si>
    <t>Digital Batteries</t>
  </si>
  <si>
    <t>microphones</t>
  </si>
  <si>
    <t>Camera Flash Lights</t>
  </si>
  <si>
    <t>camera lens hoods</t>
  </si>
  <si>
    <t>Stylus Pens</t>
  </si>
  <si>
    <t>laptops</t>
  </si>
  <si>
    <t>Monopods</t>
  </si>
  <si>
    <t>shutter release</t>
  </si>
  <si>
    <t>Charger &amp; Adapter</t>
  </si>
  <si>
    <t>electronic translators &amp; dictionaries</t>
  </si>
  <si>
    <t>Kids Camera</t>
  </si>
  <si>
    <t>monopods</t>
  </si>
  <si>
    <t>Battery Case</t>
  </si>
  <si>
    <t>digital lighters &amp; parts</t>
  </si>
  <si>
    <t>Drone Sprayer</t>
  </si>
  <si>
    <t>film cameras</t>
  </si>
  <si>
    <t>Battery Grip</t>
  </si>
  <si>
    <t>camera filters</t>
  </si>
  <si>
    <t>Printers &amp; Scanners</t>
  </si>
  <si>
    <t>video cameras</t>
  </si>
  <si>
    <t>Video Capture</t>
  </si>
  <si>
    <t>mini pc</t>
  </si>
  <si>
    <t>HDD Enclosure</t>
  </si>
  <si>
    <t>Baby &amp; Pet Monitor</t>
  </si>
  <si>
    <t>Telescope &amp; Microscope Accessories</t>
  </si>
  <si>
    <t>charger &amp; adapter</t>
  </si>
  <si>
    <t>Camera Filters</t>
  </si>
  <si>
    <t>camera flash lights</t>
  </si>
  <si>
    <t>Fans &amp; Cooling</t>
  </si>
  <si>
    <t>Laptop Cooling Pads</t>
  </si>
  <si>
    <t>Battery Accessories</t>
  </si>
  <si>
    <t>high pressure cleaner</t>
  </si>
  <si>
    <t>Charging Stand &amp; Holder</t>
  </si>
  <si>
    <t>gaming microphone</t>
  </si>
  <si>
    <t>Floppy Drives</t>
  </si>
  <si>
    <t>Flash Diffusers</t>
  </si>
  <si>
    <t>lens adapters</t>
  </si>
  <si>
    <t>Viewfinders</t>
  </si>
  <si>
    <t>adapters &amp;amp; connectors</t>
  </si>
  <si>
    <t>Surveillance &amp; IP Camera</t>
  </si>
  <si>
    <t>chargers,batteries &amp; power supplies</t>
  </si>
  <si>
    <t>Keyboard Covers</t>
  </si>
  <si>
    <t>Multifunction Chargers</t>
  </si>
  <si>
    <t>other bag parts &amp; accessories</t>
  </si>
  <si>
    <t>Digital Lighters &amp; Parts</t>
  </si>
  <si>
    <t>fans &amp; cooling</t>
  </si>
  <si>
    <t>Action &amp; Sports Camera</t>
  </si>
  <si>
    <t>关键词</t>
  </si>
  <si>
    <t>搜索热度</t>
  </si>
  <si>
    <t>竞争度</t>
  </si>
  <si>
    <t>Action &amp; Sports Camera Accessory</t>
  </si>
  <si>
    <t>baby &amp; pet monitor</t>
  </si>
  <si>
    <t>Camera Straps</t>
  </si>
  <si>
    <t>18xxx video conference camera suppliers</t>
  </si>
  <si>
    <t>Camera, Video Bags</t>
  </si>
  <si>
    <t>digital camera</t>
  </si>
  <si>
    <t>Conference Camera</t>
  </si>
  <si>
    <t>drone sprayer</t>
  </si>
  <si>
    <t>Digital Cameras</t>
  </si>
  <si>
    <t>drone</t>
  </si>
  <si>
    <t>Digital Photo Frames</t>
  </si>
  <si>
    <t>drones accessories</t>
  </si>
  <si>
    <t>Drones</t>
  </si>
  <si>
    <t>Films</t>
  </si>
  <si>
    <t>kids camera</t>
  </si>
  <si>
    <t>Hunting Camera</t>
  </si>
  <si>
    <t>mini camcorders</t>
  </si>
  <si>
    <t>Len Caps</t>
  </si>
  <si>
    <t>mounts</t>
  </si>
  <si>
    <t>Mini &amp; Hidden Camera</t>
  </si>
  <si>
    <t>photographic lighting</t>
  </si>
  <si>
    <t>Mobile Lenses</t>
  </si>
  <si>
    <t>selfie stick</t>
  </si>
  <si>
    <t>Other Camera Accessories</t>
  </si>
  <si>
    <t>telescope &amp; microscope accessories</t>
  </si>
  <si>
    <t>Stabilized Handheld Camera</t>
  </si>
  <si>
    <t>battery accessories</t>
  </si>
  <si>
    <t>Stabilizers</t>
  </si>
  <si>
    <t>battery case</t>
  </si>
  <si>
    <t>Thermal Camera &amp; Scaner</t>
  </si>
  <si>
    <t>charging stand &amp; holder</t>
  </si>
  <si>
    <t>Used Digital Camera</t>
  </si>
  <si>
    <t>digital batteries</t>
  </si>
  <si>
    <t>Webcam</t>
  </si>
  <si>
    <t>card reader</t>
  </si>
  <si>
    <t>Battery Charger</t>
  </si>
  <si>
    <t>electronic organ</t>
  </si>
  <si>
    <t>Other Batteries</t>
  </si>
  <si>
    <t>mats &amp; pads</t>
  </si>
  <si>
    <t>Power Banks &amp; Power Station</t>
  </si>
  <si>
    <t>remote control toys</t>
  </si>
  <si>
    <t>Adapters &amp; Connectors</t>
  </si>
  <si>
    <t>screen protectors</t>
  </si>
  <si>
    <t>Audio Sound Cards &amp; Mixers</t>
  </si>
  <si>
    <t>stylus pens</t>
  </si>
  <si>
    <t>Cable</t>
  </si>
  <si>
    <t>video capture</t>
  </si>
  <si>
    <t>Card Readers</t>
  </si>
  <si>
    <t>all in one computers</t>
  </si>
  <si>
    <t>Cleaners</t>
  </si>
  <si>
    <t>desktops</t>
  </si>
  <si>
    <t>3.32%
0%</t>
  </si>
  <si>
    <t>Electronic Organizers</t>
  </si>
  <si>
    <t>floppy drives</t>
  </si>
  <si>
    <t>Gaming Microphones</t>
  </si>
  <si>
    <t>graphics tablets</t>
  </si>
  <si>
    <t>Mounts &amp; Stands</t>
  </si>
  <si>
    <t>industrial computer &amp; accessories</t>
  </si>
  <si>
    <t>Other Accessories &amp; Parts</t>
  </si>
  <si>
    <t>keyboard covers</t>
  </si>
  <si>
    <t>Pads &amp; Mats</t>
  </si>
  <si>
    <t>gaming keyboard mouse combos</t>
  </si>
  <si>
    <t>Remote Control</t>
  </si>
  <si>
    <t>keyboard</t>
  </si>
  <si>
    <t>Speakerphones</t>
  </si>
  <si>
    <t>laptop cooling pads</t>
  </si>
  <si>
    <t>Stickers &amp; Skins</t>
  </si>
  <si>
    <t>laptop power supply</t>
  </si>
  <si>
    <t>Blank Disks</t>
  </si>
  <si>
    <t>Computer Cases &amp; Towers</t>
  </si>
  <si>
    <t>CPUs</t>
  </si>
  <si>
    <t>Firewall &amp; VPN</t>
  </si>
  <si>
    <t>Gaming Computer Hardware &amp; Software</t>
  </si>
  <si>
    <t>Graphics Tablet</t>
  </si>
  <si>
    <t>Keyboard Mouse Combos</t>
  </si>
  <si>
    <t>Keyboards</t>
  </si>
  <si>
    <t>KVM Switches</t>
  </si>
  <si>
    <t>Modems</t>
  </si>
  <si>
    <t>Monitors</t>
  </si>
  <si>
    <t>Motherboards</t>
  </si>
  <si>
    <t>Mouse</t>
  </si>
  <si>
    <t>Mouse Pads</t>
  </si>
  <si>
    <t>Network Cabinets</t>
  </si>
  <si>
    <t>Network Cards</t>
  </si>
  <si>
    <t>Network Hubs</t>
  </si>
  <si>
    <t>Network Switches</t>
  </si>
  <si>
    <t>Networking Storage</t>
  </si>
  <si>
    <t>Optical Drives</t>
  </si>
  <si>
    <t>Other Computer Accessories</t>
  </si>
  <si>
    <t>Other Computer Parts</t>
  </si>
  <si>
    <t>Other Computer Products</t>
  </si>
  <si>
    <t>Other Drive &amp; Storage Devices</t>
  </si>
  <si>
    <t>Other Networking Devices</t>
  </si>
  <si>
    <t>PC Power Supplies</t>
  </si>
  <si>
    <t>PC Stations</t>
  </si>
  <si>
    <t>PDA Bags &amp; Cases</t>
  </si>
  <si>
    <t>PDAs</t>
  </si>
  <si>
    <t>Printers</t>
  </si>
  <si>
    <t>RAMs</t>
  </si>
  <si>
    <t>Routers</t>
  </si>
  <si>
    <t>Scanners</t>
  </si>
  <si>
    <t>Servers</t>
  </si>
  <si>
    <t>Software</t>
  </si>
  <si>
    <t>Sound Cards</t>
  </si>
  <si>
    <t>Tablet Covers &amp; Cases</t>
  </si>
  <si>
    <t>Tablet PC</t>
  </si>
  <si>
    <t>Tablet PC Stands</t>
  </si>
  <si>
    <t>USB Flash Drives</t>
  </si>
  <si>
    <t>USB Gadgets</t>
  </si>
  <si>
    <t>USB Hubs</t>
  </si>
  <si>
    <t>Used Laptops</t>
  </si>
  <si>
    <t>Used Tablet PC</t>
  </si>
  <si>
    <t>Workstations</t>
  </si>
  <si>
    <t>Earphone &amp; Headphone &amp; Accessories</t>
  </si>
  <si>
    <t>Earphone Accessories</t>
  </si>
  <si>
    <t>Earphones &amp; Headphones</t>
  </si>
  <si>
    <t>Gaming Earphones &amp; Headsets</t>
  </si>
  <si>
    <t>Electronic Cigarettes</t>
  </si>
  <si>
    <t>Box Mod</t>
  </si>
  <si>
    <t>Electronic Cigarette Accessories</t>
  </si>
  <si>
    <t>Heat not burn</t>
  </si>
  <si>
    <t>Herb Vaporizers</t>
  </si>
  <si>
    <t>Other Electronic Cigarettes</t>
  </si>
  <si>
    <t>Vape pen</t>
  </si>
  <si>
    <t>Electronic Publications</t>
  </si>
  <si>
    <t>Electronic Books</t>
  </si>
  <si>
    <t>Music</t>
  </si>
  <si>
    <t>Home Audio, Video &amp; Accessories</t>
  </si>
  <si>
    <t>Amplifiers</t>
  </si>
  <si>
    <t>Blu-ray Players</t>
  </si>
  <si>
    <t>HDD Players</t>
  </si>
  <si>
    <t>Home CD Players</t>
  </si>
  <si>
    <t>Home DVD, VCD Players</t>
  </si>
  <si>
    <t>Home Radio</t>
  </si>
  <si>
    <t>Home Theatre System</t>
  </si>
  <si>
    <t>Karaoke Players</t>
  </si>
  <si>
    <t>Other Audio &amp; Video Equipments</t>
  </si>
  <si>
    <t>Televisions</t>
  </si>
  <si>
    <t>TV Mounts</t>
  </si>
  <si>
    <t>Mobile Phone &amp; Accessories</t>
  </si>
  <si>
    <t>Gaming mobile phones</t>
  </si>
  <si>
    <t>Mobile Phone Bags &amp; Cases</t>
  </si>
  <si>
    <t>Mobile Phone Chargers</t>
  </si>
  <si>
    <t>Mobile Phone Holders</t>
  </si>
  <si>
    <t>Mobile Phone Straps</t>
  </si>
  <si>
    <t>Mobile Phones</t>
  </si>
  <si>
    <t>Other Mobile Phone Accessories</t>
  </si>
  <si>
    <t>Pagers</t>
  </si>
  <si>
    <t>Used mobile phones</t>
  </si>
  <si>
    <t>Walkie Talkie</t>
  </si>
  <si>
    <t>Mobile Phone Parts</t>
  </si>
  <si>
    <t>Mobile Phone Antenna</t>
  </si>
  <si>
    <t>Mobile Phone Flex Cables</t>
  </si>
  <si>
    <t>Mobile Phone Housings</t>
  </si>
  <si>
    <t>Mobile Phone Keypads</t>
  </si>
  <si>
    <t>Mobile Phone LCDs</t>
  </si>
  <si>
    <t>Mobile phone repair tools</t>
  </si>
  <si>
    <t>Mobile Phone SIM Cards</t>
  </si>
  <si>
    <t>Portable Audio, Video &amp; Accessories</t>
  </si>
  <si>
    <t>Blank Records &amp; Tapes</t>
  </si>
  <si>
    <t>Cassette Recorders &amp; Players</t>
  </si>
  <si>
    <t>CD/DVD Player Bags &amp; Cases</t>
  </si>
  <si>
    <t>Digital Voice Recorders</t>
  </si>
  <si>
    <t>Ebook Readers</t>
  </si>
  <si>
    <t>MP3 Bags &amp; Cases</t>
  </si>
  <si>
    <t>MP3 Players</t>
  </si>
  <si>
    <t>MP4 Players</t>
  </si>
  <si>
    <t>Portable CD Player</t>
  </si>
  <si>
    <t>Portable DVD, VCD Players</t>
  </si>
  <si>
    <t>Portable Radio</t>
  </si>
  <si>
    <t>Quran Players</t>
  </si>
  <si>
    <t>Presentation Equipment</t>
  </si>
  <si>
    <t>Laser Pointers</t>
  </si>
  <si>
    <t>Other Presentation Equipment &amp; Accessories</t>
  </si>
  <si>
    <t>Projection Screens</t>
  </si>
  <si>
    <t>Projectors</t>
  </si>
  <si>
    <t>Visual Presenter</t>
  </si>
  <si>
    <t>Smart Electronics</t>
  </si>
  <si>
    <t>Other Smart Products</t>
  </si>
  <si>
    <t>Smart GPS Tracker &amp; Locator</t>
  </si>
  <si>
    <t>Smart Home</t>
  </si>
  <si>
    <t>Smart Remote Control</t>
  </si>
  <si>
    <t>Smart Ring</t>
  </si>
  <si>
    <t>Smart Robot</t>
  </si>
  <si>
    <t>Smart Translator</t>
  </si>
  <si>
    <t>Smart Watch Bands &amp; Accessories</t>
  </si>
  <si>
    <t>Wearable Devices</t>
  </si>
  <si>
    <t>Speakers &amp; Accessories</t>
  </si>
  <si>
    <t>Gaming Speakers</t>
  </si>
  <si>
    <t>Speaker Accessories</t>
  </si>
  <si>
    <t>Speakers</t>
  </si>
  <si>
    <t>Video Games &amp; Accessories</t>
  </si>
  <si>
    <t>IPTV</t>
  </si>
  <si>
    <t>TV Receivers &amp; Accessories</t>
  </si>
  <si>
    <t>Other Radio &amp; TV Accessories</t>
  </si>
  <si>
    <t>Radio &amp; TV Broadcasting Equipment</t>
  </si>
  <si>
    <t>Satellite TV Receiver</t>
  </si>
  <si>
    <t>Set-top Box</t>
  </si>
  <si>
    <t>TV Antenna</t>
  </si>
  <si>
    <t>TV Stick</t>
  </si>
  <si>
    <t>Fitness Accessories</t>
  </si>
  <si>
    <t>Game Softwares</t>
  </si>
  <si>
    <t>Handheld Game Players</t>
  </si>
  <si>
    <t>Holders</t>
  </si>
  <si>
    <t>Joysticks &amp; Game Controllers</t>
  </si>
  <si>
    <t>Light Guns</t>
  </si>
  <si>
    <t>Memories</t>
  </si>
  <si>
    <t>Other Game Accessories</t>
  </si>
  <si>
    <t>Sensor Bars</t>
  </si>
  <si>
    <t>Shell Cases</t>
  </si>
  <si>
    <t>Video Game Consoles</t>
  </si>
  <si>
    <t>Video Game Player Cases</t>
  </si>
  <si>
    <t>Electronic Translators &amp; Dictionaries</t>
  </si>
  <si>
    <t>graphics cards</t>
  </si>
  <si>
    <t>Memory Cards</t>
  </si>
  <si>
    <t>hard drives</t>
  </si>
  <si>
    <t>Hard Drives</t>
  </si>
  <si>
    <t>Camera Lenses</t>
  </si>
  <si>
    <t>car &amp; vehicle camera</t>
  </si>
  <si>
    <t>Webcams</t>
  </si>
  <si>
    <t>Tripod</t>
  </si>
  <si>
    <t>charging station &amp; power station</t>
  </si>
  <si>
    <t>Lens Adapters</t>
  </si>
  <si>
    <t>photo studio accessories</t>
  </si>
  <si>
    <t>Industrial Computer &amp; Accessories</t>
  </si>
  <si>
    <t>Charging Station &amp; Power Station</t>
  </si>
  <si>
    <t>memory cards</t>
  </si>
  <si>
    <t>Laptop Power Supply</t>
  </si>
  <si>
    <t>Shutter Release</t>
  </si>
  <si>
    <t>webcams</t>
  </si>
  <si>
    <t>Car &amp; Vehicle Camera</t>
  </si>
  <si>
    <t>english sexy video digital photo frame</t>
  </si>
  <si>
    <t>Camera Lens Hoods</t>
  </si>
  <si>
    <t>camera lenses</t>
  </si>
  <si>
    <t>序号</t>
  </si>
  <si>
    <t>买家规模指数</t>
  </si>
  <si>
    <t>市场增速</t>
  </si>
  <si>
    <t>供需比</t>
  </si>
  <si>
    <t>转化率</t>
  </si>
  <si>
    <t>买家数年同比</t>
  </si>
  <si>
    <t>自行车（Cycling）</t>
  </si>
  <si>
    <t>滑板车</t>
  </si>
  <si>
    <t>电动滑板车（Electric Scooters）</t>
  </si>
  <si>
    <t>户外运动（Outdoor Sports）</t>
  </si>
  <si>
    <t>自行车</t>
  </si>
  <si>
    <t>电动自行车（Electric Bicycle）</t>
  </si>
  <si>
    <t>--</t>
  </si>
  <si>
    <t>/</t>
  </si>
  <si>
    <t>滑板车（Scooters）</t>
  </si>
  <si>
    <t>自行车（Bicycle）</t>
  </si>
  <si>
    <t>运动鞋（Sports Shoes）</t>
  </si>
  <si>
    <t>户外运动</t>
  </si>
  <si>
    <t>露营及登山（Camping &amp; Hiking）</t>
  </si>
  <si>
    <t>健身及塑形（Fitness &amp; Body Building）</t>
  </si>
  <si>
    <t>垂钓（Fishing）</t>
  </si>
  <si>
    <t>室内运动（Indoor Sports）</t>
  </si>
  <si>
    <t>室内运动</t>
  </si>
  <si>
    <t>娱乐用品（Entertainment）</t>
  </si>
  <si>
    <t>水上运动（Water Sports）</t>
  </si>
  <si>
    <t>运动鞋</t>
  </si>
  <si>
    <t>足球鞋（Soccer Shoes）</t>
  </si>
  <si>
    <t>游乐园（Amusement Park）</t>
  </si>
  <si>
    <t>健身及塑形</t>
  </si>
  <si>
    <t>力量训练（Strength Training）</t>
  </si>
  <si>
    <t>运动护具（Sports Safety）</t>
  </si>
  <si>
    <t>跑步鞋（Running Shoes）</t>
  </si>
  <si>
    <t>乐器（Musical Instruments）</t>
  </si>
  <si>
    <t>健身配件（Fitness Accessories）</t>
  </si>
  <si>
    <t>团队运动（Team Sports）</t>
  </si>
  <si>
    <t>自行车零件（Bicycle Parts）</t>
  </si>
  <si>
    <t>其他运动和娱乐产品（Other Sports &amp; Entertainment Products）</t>
  </si>
  <si>
    <t>狩猎（Hunting）</t>
  </si>
  <si>
    <t>展会帐篷（Trade Show Tent）</t>
  </si>
  <si>
    <t>篮球鞋（Basketball Shoes）</t>
  </si>
  <si>
    <t>高尔夫（Golf）</t>
  </si>
  <si>
    <t>有氧训练（Cardio Training）</t>
  </si>
  <si>
    <t>人造草坪与运动地板（Artificial Grass &amp; Sports Flooring）</t>
  </si>
  <si>
    <t>水上运动</t>
  </si>
  <si>
    <t>游泳潜水（Swimming &amp; Diving）</t>
  </si>
  <si>
    <t>船舶和舟艇（Boats &amp; Ships）</t>
  </si>
  <si>
    <t>运动护具</t>
  </si>
  <si>
    <t>身体护具（Body Safety）</t>
  </si>
  <si>
    <t>房车（RVs &amp; Campers）</t>
  </si>
  <si>
    <t>水上项目船只（Waterplay Crafts）</t>
  </si>
  <si>
    <t>冬季运动（Winter Sports）</t>
  </si>
  <si>
    <t>电动自行车零件（Electric Bicycle Part）</t>
  </si>
  <si>
    <t>运动包（Sports Bags）</t>
  </si>
  <si>
    <t>其他运动鞋（Fitness Walking Shoes）</t>
  </si>
  <si>
    <t>运动康复（Exercise Rehabilitation）</t>
  </si>
  <si>
    <t>乐器</t>
  </si>
  <si>
    <t>键盘乐器（Keyboard Instruments）</t>
  </si>
  <si>
    <t>游乐场</t>
  </si>
  <si>
    <t>游乐场（Playground）</t>
  </si>
  <si>
    <t>弦乐器（Stringed Instruments）</t>
  </si>
  <si>
    <t>瑜伽及普拉提设备（Yoga &amp; Pilates）</t>
  </si>
  <si>
    <t>自行车配件（Bicycle Accessories）</t>
  </si>
  <si>
    <t>运动手套（Sports Gloves）</t>
  </si>
  <si>
    <t>水上游乐设施（Water Play Equipment）</t>
  </si>
  <si>
    <t>水上冲浪（Waterplay Surfing）</t>
  </si>
  <si>
    <t>团队运动</t>
  </si>
  <si>
    <t>足球及橄榄球（Football &amp; Soccer）</t>
  </si>
  <si>
    <t>斯诺克及台球（Snooker &amp; Billiard）</t>
  </si>
  <si>
    <t>滑板（Skate Board）</t>
  </si>
  <si>
    <t>登山鞋（Hiking Shoes）</t>
  </si>
  <si>
    <t>网球（Tennis）</t>
  </si>
  <si>
    <t>赛马（Horse Racing）</t>
  </si>
  <si>
    <t>闪烁辊（Flashing Roller）</t>
  </si>
  <si>
    <t>卡丁车（Go Karts）</t>
  </si>
  <si>
    <t>其他乐器及配件（Other Musical Instruments &amp; Accessories）</t>
  </si>
  <si>
    <t>儿童滑板车（kids' scooters）</t>
  </si>
  <si>
    <t>拳击（Boxing）</t>
  </si>
  <si>
    <t>射击（Shooting）</t>
  </si>
  <si>
    <t>武术（Martial Arts）</t>
  </si>
  <si>
    <t>游乐场（Playground（old））</t>
  </si>
  <si>
    <t>其他游乐园产品（Other Amusement Park Products）</t>
  </si>
  <si>
    <t>游泳服配（Swim Clothing &amp; Accessories）</t>
  </si>
  <si>
    <t>棒球和垒球（Baseball &amp; Softball）</t>
  </si>
  <si>
    <t>高尔夫球</t>
  </si>
  <si>
    <t>其他高尔夫产品（Other Golf Products）</t>
  </si>
  <si>
    <t>篮球（Basketball）</t>
  </si>
  <si>
    <t>打击乐器（Percussion Instruments）</t>
  </si>
  <si>
    <t>其他运动护具（Other Sports Safety）</t>
  </si>
  <si>
    <t>板球（Cricket）</t>
  </si>
  <si>
    <t>游乐园游乐设施（Amusement Park Rides）</t>
  </si>
  <si>
    <t>船舶和舟艇</t>
  </si>
  <si>
    <t>游艇（Yacht）</t>
  </si>
  <si>
    <t>羽毛球（Badminton）</t>
  </si>
  <si>
    <t>棋牌游戏（Chess Games）</t>
  </si>
  <si>
    <t>儿童运动鞋（Kids' Sport Shoes）</t>
  </si>
  <si>
    <t>渔船（Fishing Vessel）</t>
  </si>
  <si>
    <t>乒乓球（Table Tennis）</t>
  </si>
  <si>
    <t>冰上曲棍球及陆上曲棍球（Ice Hockey &amp; Field Hockey）</t>
  </si>
  <si>
    <t>滑板车零件&amp;配件（Scooter Parts &amp; Accessories）</t>
  </si>
  <si>
    <t>仿真模型（Animatronic Model）</t>
  </si>
  <si>
    <t>飞行器（Aircraft）</t>
  </si>
  <si>
    <t>脚蹬踏板车、脚踏滑板车（Kick Scooters,Foot Scooters）</t>
  </si>
  <si>
    <t>踏板车零部件及配件（Scooter Parts &amp; Accessories（old））</t>
  </si>
  <si>
    <t>高尔夫球（Golf Balls）</t>
  </si>
  <si>
    <t>水上游乐设施（Water Play Equipment（old））</t>
  </si>
  <si>
    <t>木管乐器（Woodwind Instruments）</t>
  </si>
  <si>
    <t>冬季运动</t>
  </si>
  <si>
    <t>滑雪（Skiing）</t>
  </si>
  <si>
    <t>运动包</t>
  </si>
  <si>
    <t>其他运动包包（Other Sports  Bags）</t>
  </si>
  <si>
    <t>举重（Weight Lifting(Old)）</t>
  </si>
  <si>
    <t>啦啦队（Cheerleading）</t>
  </si>
  <si>
    <t>飞镖（Darts）</t>
  </si>
  <si>
    <t>自平衡电动滑板车（Self-balancing Electric Scooters）</t>
  </si>
  <si>
    <t>高尔夫球杆（Golf Clubs）</t>
  </si>
  <si>
    <t>高尔夫球练习器（Golf Training Aids）</t>
  </si>
  <si>
    <t>速度与敏捷性训练（Speed &amp; Agility Training）</t>
  </si>
  <si>
    <t>舞鞋（Dance Shoes）</t>
  </si>
  <si>
    <t>羽毛球鞋（Badminton Shoes）</t>
  </si>
  <si>
    <t>滑冰鞋（Skate Shoes）</t>
  </si>
  <si>
    <t>平衡训练（Balance Training）</t>
  </si>
  <si>
    <t>高尔夫球包车（Golf Trolley）</t>
  </si>
  <si>
    <t>高尔夫球袋（Golf Bags）</t>
  </si>
  <si>
    <t>排球（Volleyball）</t>
  </si>
  <si>
    <t>健身器材（Gym Equipment(Old)）</t>
  </si>
  <si>
    <t>高尔夫球钉（Golf Tees）</t>
  </si>
  <si>
    <t>俱乐部工艺制品（Club-Making Products）</t>
  </si>
  <si>
    <t>自行车鞋（Cycling Shoes）</t>
  </si>
  <si>
    <t>铜管乐器（Brass Instruments）</t>
  </si>
  <si>
    <t>保龄球（Bowling）</t>
  </si>
  <si>
    <t>自行车（Bicycle(Old)）</t>
  </si>
  <si>
    <t>网球鞋（Tennis Shoes）</t>
  </si>
  <si>
    <t>杆头套（Head Covers）</t>
  </si>
  <si>
    <t>户外健身器材（Outdoor Fitness Equipment）</t>
  </si>
  <si>
    <t>训练鞋（Fitness &amp; Cross-training Shoes）</t>
  </si>
  <si>
    <t>攀岩墙（Climbing Walls）</t>
  </si>
  <si>
    <t>客船（Passenger Ship）</t>
  </si>
  <si>
    <t>雪橇和雪管（Sleds &amp; Snow Tubes）</t>
  </si>
  <si>
    <t>蹦极（Bungee）</t>
  </si>
  <si>
    <t>运动面罩（Sports Mask）</t>
  </si>
  <si>
    <t>其他船（Other Boats）</t>
  </si>
  <si>
    <t>雪地车（Snowmobile）</t>
  </si>
  <si>
    <t>体操（Gymnastics）</t>
  </si>
  <si>
    <t>壁球（Squash）</t>
  </si>
  <si>
    <t>货船（Cargo Ship）</t>
  </si>
  <si>
    <t>其他室内运动用品（Other Indoor Sports Products）</t>
  </si>
  <si>
    <t>运动科技</t>
  </si>
  <si>
    <t>心率表，计步器，运动追踪设备（Activity &amp; Fitness Trackers）</t>
  </si>
  <si>
    <t>运动护目镜（Sports Goggles）</t>
  </si>
  <si>
    <t>高尔夫模拟器（Golf Simulator）</t>
  </si>
  <si>
    <t>球拍包（Racket Bags）</t>
  </si>
  <si>
    <t>登山包（Hiking Bags）</t>
  </si>
  <si>
    <t>俯卧撑架（Push-Ups Stands(Old)）</t>
  </si>
  <si>
    <t>游乐园游乐设施（Amusement Park Rides（old））</t>
  </si>
  <si>
    <t>驳船（Barge）</t>
  </si>
  <si>
    <t>积分器（Scorecard &amp; Holder）</t>
  </si>
  <si>
    <t>秒表，计时表（Stopwatches）</t>
  </si>
  <si>
    <t>木筏（Raft）</t>
  </si>
  <si>
    <t>舱房游艇（Cabin Cruiser）</t>
  </si>
  <si>
    <t>高尔夫测距仪（Golf Rangefinders）</t>
  </si>
  <si>
    <t>零件与配件（Parts &amp; Accessories）</t>
  </si>
  <si>
    <t>骑行包（Bicycle Bags &amp; Boxes）</t>
  </si>
  <si>
    <t>潜水袋（Diving Bags）</t>
  </si>
  <si>
    <t>高尔夫套件（Golf Set）</t>
  </si>
  <si>
    <t>感官训练器材（Sensory Training Equipments）</t>
  </si>
  <si>
    <t>油轮（Tanker）</t>
  </si>
  <si>
    <t>捞球器（Golf ball retriever）</t>
  </si>
  <si>
    <t>滑冰（Ice Skating）</t>
  </si>
  <si>
    <t>雪鞋健行（Snowshoeing）</t>
  </si>
  <si>
    <t>健身球（Fitness Balls(Old)）</t>
  </si>
  <si>
    <t>手球（Handball）</t>
  </si>
  <si>
    <t>计步器（Pedometers）</t>
  </si>
  <si>
    <t>其他智能运动设备（Other Smart Sport Equipments）</t>
  </si>
  <si>
    <t>球包架/球杆架（Golf rack）</t>
  </si>
  <si>
    <t>发球机/盒/框（Golf dispenser）</t>
  </si>
  <si>
    <t>冬季运动零配件（Winter Sports Accessories）</t>
  </si>
  <si>
    <t>运动相机（Sports Cameras）</t>
  </si>
  <si>
    <t>运动新奇特产品（Novelty &amp; Gag Sport Equipments）</t>
  </si>
  <si>
    <t>体育比赛围栏（Sports Game Fences）</t>
  </si>
  <si>
    <t>振动健身按摩器（Vibration Fitness Massager）</t>
  </si>
  <si>
    <t>壁球袋（Equipment Bags）</t>
  </si>
  <si>
    <t>运动康复运动按摩（Exercise Rehabilitation）</t>
  </si>
  <si>
    <t>分隔栏（Golf divider）</t>
  </si>
  <si>
    <t>VR 设备（VR Equipment）</t>
  </si>
  <si>
    <t>运动手表（Sports Watches）</t>
  </si>
  <si>
    <t>运动水壶（Sports Bottles）</t>
  </si>
  <si>
    <t>运动手环（Sports Wristbands）</t>
  </si>
  <si>
    <t>运动健身镜（Fitness Mirrors）</t>
  </si>
  <si>
    <t>冰壶（Curling）</t>
  </si>
  <si>
    <t>国别</t>
  </si>
  <si>
    <t>市场规模</t>
  </si>
  <si>
    <t>市场供需</t>
  </si>
  <si>
    <t>市场转化</t>
  </si>
  <si>
    <t>类目</t>
  </si>
  <si>
    <t>前三核心品类分布</t>
  </si>
  <si>
    <t>美国（United States of America）</t>
  </si>
  <si>
    <t>英国（United Kingdom）</t>
  </si>
  <si>
    <t>菲律宾（Philippines）</t>
  </si>
  <si>
    <t>高尔夫</t>
  </si>
  <si>
    <t>韩国（Korea (the Republic of)）</t>
  </si>
  <si>
    <t>巴西（Brazil）</t>
  </si>
  <si>
    <t>加拿大（Canada）</t>
  </si>
  <si>
    <t>印度（India）</t>
  </si>
  <si>
    <t>澳大利亚（Australia）</t>
  </si>
  <si>
    <t>日本（Japan）</t>
  </si>
  <si>
    <t>意大利（Italy）</t>
  </si>
  <si>
    <t>南非（South Africa）</t>
  </si>
  <si>
    <t>巴基斯坦（Pakistan）</t>
  </si>
  <si>
    <t>印度尼西亚（Indonesia）</t>
  </si>
  <si>
    <t>西班牙（Spain）</t>
  </si>
  <si>
    <t>德国（Germany）</t>
  </si>
  <si>
    <t>法国（France）</t>
  </si>
  <si>
    <t>泰国（Thailand）</t>
  </si>
  <si>
    <t>新西兰（New Zealand）</t>
  </si>
  <si>
    <t>墨西哥（Mexico）</t>
  </si>
  <si>
    <t>马来西亚（Malaysia）</t>
  </si>
  <si>
    <t>土耳其（Turkey）</t>
  </si>
  <si>
    <t>荷兰（Netherlands）</t>
  </si>
  <si>
    <t>哥伦比亚（Colombia）</t>
  </si>
  <si>
    <t>秘鲁（Peru）</t>
  </si>
  <si>
    <t>沙特阿拉伯（Saudi Arabia）</t>
  </si>
  <si>
    <t>瑞典（Sweden）</t>
  </si>
  <si>
    <t>孟加拉国（Bangladesh）</t>
  </si>
  <si>
    <t>越南（Viet Nam）</t>
  </si>
  <si>
    <t>俄罗斯联邦（Russian Federation）</t>
  </si>
  <si>
    <t>智利（Chile）</t>
  </si>
  <si>
    <t>阿联酋（United Arab Emirates）</t>
  </si>
  <si>
    <t>中国（China）</t>
  </si>
  <si>
    <t>柬埔寨（Cambodia）</t>
  </si>
  <si>
    <t>摩洛哥（Morocco）</t>
  </si>
  <si>
    <t>房车</t>
  </si>
  <si>
    <t>以色列（Israel）</t>
  </si>
  <si>
    <t>阿曼（Oman）</t>
  </si>
  <si>
    <t>游乐园</t>
  </si>
  <si>
    <t>科威特（Kuwait）</t>
  </si>
  <si>
    <t>伊拉克（Iraq）</t>
  </si>
  <si>
    <t>委内瑞拉（Venezuela）</t>
  </si>
  <si>
    <t>多米尼加（Dominican Republic）</t>
  </si>
  <si>
    <t>斯里兰卡（Sri Lanka）</t>
  </si>
  <si>
    <t>巴布亚新几内亚（Papua New Guinea）</t>
  </si>
  <si>
    <t>尼日利亚（Nigeria）</t>
  </si>
  <si>
    <t>人造草坪与运动地板</t>
  </si>
  <si>
    <t>埃及（Egypt）</t>
  </si>
  <si>
    <t>阿尔及利亚（Algeria）</t>
  </si>
  <si>
    <t>肯尼亚（Kenya）</t>
  </si>
  <si>
    <t>坦桑尼亚（Tanzania）</t>
  </si>
  <si>
    <t>加纳（Ghana）</t>
  </si>
  <si>
    <t>刚果（金）（Congo (the Democratic Republic of the)）</t>
  </si>
  <si>
    <t>排序</t>
  </si>
  <si>
    <t>类目归属</t>
  </si>
  <si>
    <t>竞争涨幅</t>
  </si>
  <si>
    <t>silicone rubber</t>
  </si>
  <si>
    <t>橡胶与塑料制品 &gt; 橡胶原料 &gt; 硅橡胶</t>
  </si>
  <si>
    <t>silicone mold</t>
  </si>
  <si>
    <t>家居园艺 &gt; 餐厨用品 &gt; 烘焙用具 &gt; 蛋糕工具</t>
  </si>
  <si>
    <t>silicone</t>
  </si>
  <si>
    <t>橡胶与塑料制品 &gt; 橡胶制品 &gt; 其他橡胶制品</t>
  </si>
  <si>
    <t>silicone beads</t>
  </si>
  <si>
    <t>玩具与兴趣爱好 &gt; 婴儿玩具 &gt; 婴儿出牙嚼器</t>
  </si>
  <si>
    <t>silicone doll</t>
  </si>
  <si>
    <t>健康医疗 &gt; 成人产品 &gt; 成人玩具 &gt; 充气娃娃</t>
  </si>
  <si>
    <t>silicone bibs</t>
  </si>
  <si>
    <t>服装 &gt; 婴儿服装 &gt; 婴儿围嘴</t>
  </si>
  <si>
    <t>-</t>
  </si>
  <si>
    <t>silicone sealant</t>
  </si>
  <si>
    <t>化学品 &gt; 粘合剂及密封剂</t>
  </si>
  <si>
    <t>silicon condom</t>
  </si>
  <si>
    <t>健康医疗 &gt; 成人产品 &gt; 计生用品 &gt; 避孕套</t>
  </si>
  <si>
    <t>silicone case</t>
  </si>
  <si>
    <t>消费电子 &gt; 手机与配件 &gt; 手机包与手机壳</t>
  </si>
  <si>
    <t>silicon bags</t>
  </si>
  <si>
    <t>家居园艺 &gt; 家用储物收纳用具 &gt; 收纳袋 &gt; 收纳袋</t>
  </si>
  <si>
    <t>silicone baby feeding set</t>
  </si>
  <si>
    <t>家居园艺 &gt; 餐厨用品 &gt; 儿童餐具</t>
  </si>
  <si>
    <t>产品基础信息</t>
  </si>
  <si>
    <t>产品销售信息</t>
  </si>
  <si>
    <t>产品竞争力核算</t>
  </si>
  <si>
    <t>产品名称</t>
  </si>
  <si>
    <t>产品图</t>
  </si>
  <si>
    <t>产品链接</t>
  </si>
  <si>
    <t>公司名</t>
  </si>
  <si>
    <t>核心词热度</t>
  </si>
  <si>
    <t>同款产品数
（核心词前3页重复率）</t>
  </si>
  <si>
    <t>产品卖点总结</t>
  </si>
  <si>
    <t>链接标价</t>
  </si>
  <si>
    <t>1688售价</t>
  </si>
  <si>
    <t>重量</t>
  </si>
  <si>
    <t>尺寸</t>
  </si>
  <si>
    <t>装箱数</t>
  </si>
  <si>
    <t>阶梯数量报价</t>
  </si>
  <si>
    <t>FOB/EXW/FBA售价核算</t>
  </si>
  <si>
    <t>终端销售费用（美国）</t>
  </si>
  <si>
    <t>产品售后服务</t>
  </si>
  <si>
    <t>具体产品差异</t>
  </si>
  <si>
    <t>缺什么加什么自己完善</t>
  </si>
  <si>
    <t>年份</t>
  </si>
  <si>
    <t>月份</t>
  </si>
  <si>
    <t>产品总数</t>
  </si>
  <si>
    <t>曝光</t>
  </si>
  <si>
    <t>点击</t>
  </si>
  <si>
    <t>直通车占比</t>
  </si>
  <si>
    <t>询盘</t>
  </si>
  <si>
    <t>TOP10曝光</t>
  </si>
  <si>
    <t>TOP10点击</t>
  </si>
  <si>
    <t>TOP10询盘</t>
  </si>
  <si>
    <t>广告费用</t>
  </si>
  <si>
    <t>成交单数</t>
  </si>
  <si>
    <t>成交金额</t>
  </si>
  <si>
    <t>信息展示</t>
  </si>
  <si>
    <t>沟通服务</t>
  </si>
  <si>
    <t>交易转化</t>
  </si>
  <si>
    <t>履约保障</t>
  </si>
  <si>
    <t>商家星等级</t>
  </si>
  <si>
    <t>TOP10单数</t>
  </si>
  <si>
    <t>TOP10金额</t>
  </si>
  <si>
    <t>新品</t>
  </si>
  <si>
    <t>实力优品</t>
  </si>
  <si>
    <t>爆品</t>
  </si>
  <si>
    <t>2026年</t>
  </si>
  <si>
    <t>1月</t>
  </si>
  <si>
    <t>Festive &amp; Party Supplies</t>
  </si>
  <si>
    <t>Party &amp; Holiday Supplies</t>
  </si>
  <si>
    <t>Christmas Decoration Supplies</t>
  </si>
  <si>
    <t>Party Masks</t>
  </si>
  <si>
    <t>Wedding Decoration &amp; Supplies</t>
  </si>
  <si>
    <t>Crafts</t>
  </si>
  <si>
    <t>Metal Crafts</t>
  </si>
  <si>
    <t>Wood Crafts, Wooden Boxes and Wall Sign</t>
  </si>
  <si>
    <t>Decorative Flowers, Wreaths and Plants</t>
  </si>
  <si>
    <t>Artificial Flower</t>
  </si>
  <si>
    <t>Other Decorative Flowers and Plants</t>
  </si>
  <si>
    <t>Home Decor</t>
  </si>
  <si>
    <t>Artificial Plants and Flowers</t>
  </si>
  <si>
    <t>合计</t>
  </si>
  <si>
    <t>同行店铺链接</t>
  </si>
  <si>
    <t>星等级</t>
  </si>
  <si>
    <t>主要出口市场占比</t>
  </si>
  <si>
    <t>近三个月类目下询盘数</t>
  </si>
  <si>
    <t>热卖产品链接</t>
  </si>
  <si>
    <t>产品材质款式</t>
  </si>
  <si>
    <t>起订量</t>
  </si>
  <si>
    <t>产品价格区间</t>
  </si>
  <si>
    <t>运费</t>
  </si>
  <si>
    <t>评分</t>
  </si>
  <si>
    <t>Citycoco Electric Scooter New 2019 Style Fat Tire 2 Seats 1000W 60V 1001-2000W</t>
  </si>
  <si>
    <t>搜索曝</t>
  </si>
  <si>
    <t>搜索点</t>
  </si>
  <si>
    <t>直通车</t>
  </si>
  <si>
    <r>
      <rPr>
        <sz val="9.75"/>
        <color rgb="FF999999"/>
        <rFont val="微软雅黑"/>
        <charset val="134"/>
      </rPr>
      <t>商品详情页访问人数</t>
    </r>
    <r>
      <rPr>
        <sz val="12"/>
        <color rgb="FFC4C6CF"/>
        <rFont val="方正书宋_GBK"/>
        <charset val="134"/>
      </rPr>
      <t></t>
    </r>
  </si>
  <si>
    <r>
      <rPr>
        <sz val="9.75"/>
        <color rgb="FF999999"/>
        <rFont val="微软雅黑"/>
        <charset val="134"/>
      </rPr>
      <t>店内询盘人数</t>
    </r>
    <r>
      <rPr>
        <sz val="12"/>
        <color rgb="FFC4C6CF"/>
        <rFont val="方正书宋_GBK"/>
        <charset val="134"/>
      </rPr>
      <t></t>
    </r>
  </si>
  <si>
    <r>
      <rPr>
        <sz val="9.75"/>
        <color rgb="FF999999"/>
        <rFont val="微软雅黑"/>
        <charset val="134"/>
      </rPr>
      <t>店内TM咨询人数</t>
    </r>
    <r>
      <rPr>
        <sz val="12"/>
        <color rgb="FFC4C6CF"/>
        <rFont val="方正书宋_GBK"/>
        <charset val="134"/>
      </rPr>
      <t></t>
    </r>
  </si>
  <si>
    <t>店内订单</t>
  </si>
  <si>
    <r>
      <rPr>
        <sz val="9.75"/>
        <color rgb="FF999999"/>
        <rFont val="微软雅黑"/>
        <charset val="134"/>
      </rPr>
      <t>商机转化率</t>
    </r>
    <r>
      <rPr>
        <sz val="12"/>
        <color rgb="FFC4C6CF"/>
        <rFont val="方正书宋_GBK"/>
        <charset val="134"/>
      </rPr>
      <t></t>
    </r>
  </si>
  <si>
    <t>操作</t>
  </si>
  <si>
    <r>
      <rPr>
        <sz val="9.75"/>
        <color rgb="FF999999"/>
        <rFont val="微软雅黑"/>
        <charset val="134"/>
      </rPr>
      <t>光次数</t>
    </r>
    <r>
      <rPr>
        <sz val="12"/>
        <color rgb="FFC4C6CF"/>
        <rFont val="方正书宋_GBK"/>
        <charset val="134"/>
      </rPr>
      <t></t>
    </r>
    <r>
      <rPr>
        <sz val="12"/>
        <color rgb="FF1047F5"/>
        <rFont val="方正书宋_GBK"/>
        <charset val="134"/>
      </rPr>
      <t></t>
    </r>
  </si>
  <si>
    <r>
      <rPr>
        <sz val="9.75"/>
        <color rgb="FF999999"/>
        <rFont val="微软雅黑"/>
        <charset val="134"/>
      </rPr>
      <t>击次数</t>
    </r>
    <r>
      <rPr>
        <sz val="12"/>
        <color rgb="FFC4C6CF"/>
        <rFont val="方正书宋_GBK"/>
        <charset val="134"/>
      </rPr>
      <t></t>
    </r>
  </si>
  <si>
    <r>
      <rPr>
        <sz val="9.75"/>
        <color rgb="FF999999"/>
        <rFont val="微软雅黑"/>
        <charset val="134"/>
      </rPr>
      <t>曝光次数</t>
    </r>
    <r>
      <rPr>
        <sz val="12"/>
        <color rgb="FFC4C6CF"/>
        <rFont val="方正书宋_GBK"/>
        <charset val="134"/>
      </rPr>
      <t></t>
    </r>
  </si>
  <si>
    <r>
      <rPr>
        <sz val="9.75"/>
        <color rgb="FF999999"/>
        <rFont val="微软雅黑"/>
        <charset val="134"/>
      </rPr>
      <t>点击次数</t>
    </r>
    <r>
      <rPr>
        <sz val="12"/>
        <color rgb="FFC4C6CF"/>
        <rFont val="方正书宋_GBK"/>
        <charset val="134"/>
      </rPr>
      <t></t>
    </r>
  </si>
  <si>
    <r>
      <rPr>
        <sz val="9.75"/>
        <color rgb="FF999999"/>
        <rFont val="微软雅黑"/>
        <charset val="134"/>
      </rPr>
      <t>买家人数</t>
    </r>
    <r>
      <rPr>
        <sz val="12"/>
        <color rgb="FFC4C6CF"/>
        <rFont val="方正书宋_GBK"/>
        <charset val="134"/>
      </rPr>
      <t></t>
    </r>
  </si>
  <si>
    <t>electric scooters</t>
  </si>
  <si>
    <t>抢第一|待加入计划不存在</t>
  </si>
  <si>
    <t>scooter</t>
  </si>
  <si>
    <t>citycoco</t>
  </si>
  <si>
    <t>display+racks</t>
  </si>
  <si>
    <t>scooter electric</t>
  </si>
  <si>
    <t>سكوتر</t>
  </si>
  <si>
    <t>electr scooter</t>
  </si>
  <si>
    <t>trotinette-electrique-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</si>
</sst>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44">
    <font>
      <sz val="12"/>
      <color theme="1"/>
      <name val="宋体"/>
      <charset val="134"/>
      <scheme val="minor"/>
    </font>
    <font>
      <sz val="12"/>
      <color theme="1"/>
      <name val="微软雅黑"/>
      <charset val="134"/>
    </font>
    <font>
      <sz val="9.75"/>
      <color rgb="FF999999"/>
      <name val="微软雅黑"/>
      <charset val="134"/>
    </font>
    <font>
      <sz val="9"/>
      <color rgb="FF000000"/>
      <name val="微软雅黑"/>
      <charset val="134"/>
    </font>
    <font>
      <sz val="9"/>
      <color rgb="FF3E71F7"/>
      <name val="微软雅黑"/>
      <charset val="134"/>
    </font>
    <font>
      <b/>
      <sz val="12"/>
      <name val="宋体"/>
      <charset val="134"/>
      <scheme val="minor"/>
    </font>
    <font>
      <b/>
      <sz val="12"/>
      <name val="微软雅黑"/>
      <charset val="134"/>
    </font>
    <font>
      <sz val="12"/>
      <name val="微软雅黑"/>
      <charset val="134"/>
    </font>
    <font>
      <sz val="12"/>
      <color rgb="FF000000"/>
      <name val="微软雅黑"/>
      <charset val="134"/>
    </font>
    <font>
      <sz val="10.5"/>
      <color theme="1"/>
      <name val="微软雅黑"/>
      <charset val="134"/>
    </font>
    <font>
      <sz val="10.5"/>
      <color theme="5"/>
      <name val="微软雅黑"/>
      <charset val="134"/>
    </font>
    <font>
      <sz val="20"/>
      <color theme="1"/>
      <name val="微软雅黑"/>
      <charset val="134"/>
    </font>
    <font>
      <sz val="18"/>
      <color theme="1"/>
      <name val="微软雅黑"/>
      <charset val="134"/>
    </font>
    <font>
      <sz val="20"/>
      <color theme="0"/>
      <name val="微软雅黑"/>
      <charset val="134"/>
    </font>
    <font>
      <sz val="18"/>
      <color theme="0"/>
      <name val="微软雅黑"/>
      <charset val="134"/>
    </font>
    <font>
      <b/>
      <sz val="20"/>
      <color theme="0"/>
      <name val="微软雅黑"/>
      <charset val="134"/>
    </font>
    <font>
      <b/>
      <sz val="12"/>
      <color theme="0"/>
      <name val="微软雅黑"/>
      <charset val="134"/>
    </font>
    <font>
      <sz val="12"/>
      <color theme="0"/>
      <name val="微软雅黑"/>
      <charset val="134"/>
    </font>
    <font>
      <sz val="12"/>
      <color rgb="FF333333"/>
      <name val="微软雅黑"/>
      <charset val="134"/>
    </font>
    <font>
      <sz val="12"/>
      <color theme="0"/>
      <name val="宋体"/>
      <charset val="134"/>
      <scheme val="minor"/>
    </font>
    <font>
      <sz val="16"/>
      <color theme="0"/>
      <name val="微软雅黑"/>
      <charset val="134"/>
    </font>
    <font>
      <sz val="16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C4C6CF"/>
      <name val="方正书宋_GBK"/>
      <charset val="134"/>
    </font>
    <font>
      <sz val="12"/>
      <color rgb="FF1047F5"/>
      <name val="方正书宋_GBK"/>
      <charset val="134"/>
    </font>
  </fonts>
  <fills count="4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7" tint="0.8"/>
        <bgColor theme="5"/>
      </patternFill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4"/>
        <bgColor theme="4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5"/>
        <bgColor theme="4" tint="0.599993896298105"/>
      </patternFill>
    </fill>
    <fill>
      <patternFill patternType="solid">
        <fgColor theme="4" tint="0.6"/>
        <bgColor theme="4" tint="0.599993896298105"/>
      </patternFill>
    </fill>
    <fill>
      <patternFill patternType="solid">
        <fgColor theme="4" tint="0.6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0"/>
      </bottom>
      <diagonal/>
    </border>
    <border>
      <left/>
      <right/>
      <top style="medium">
        <color theme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7" borderId="21" applyNumberFormat="0" applyAlignment="0" applyProtection="0">
      <alignment vertical="center"/>
    </xf>
    <xf numFmtId="0" fontId="32" fillId="18" borderId="22" applyNumberFormat="0" applyAlignment="0" applyProtection="0">
      <alignment vertical="center"/>
    </xf>
    <xf numFmtId="0" fontId="33" fillId="18" borderId="21" applyNumberFormat="0" applyAlignment="0" applyProtection="0">
      <alignment vertical="center"/>
    </xf>
    <xf numFmtId="0" fontId="34" fillId="19" borderId="23" applyNumberFormat="0" applyAlignment="0" applyProtection="0">
      <alignment vertical="center"/>
    </xf>
    <xf numFmtId="0" fontId="35" fillId="0" borderId="24" applyNumberFormat="0" applyFill="0" applyAlignment="0" applyProtection="0">
      <alignment vertical="center"/>
    </xf>
    <xf numFmtId="0" fontId="36" fillId="0" borderId="25" applyNumberFormat="0" applyFill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</cellStyleXfs>
  <cellXfs count="13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Fill="1" applyBorder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10" fontId="3" fillId="2" borderId="1" xfId="0" applyNumberFormat="1" applyFont="1" applyFill="1" applyBorder="1" applyAlignment="1">
      <alignment horizontal="left" vertical="center" wrapText="1"/>
    </xf>
    <xf numFmtId="9" fontId="3" fillId="2" borderId="1" xfId="0" applyNumberFormat="1" applyFont="1" applyFill="1" applyBorder="1" applyAlignment="1">
      <alignment horizontal="left" vertical="center" wrapText="1"/>
    </xf>
    <xf numFmtId="10" fontId="3" fillId="3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>
      <alignment vertical="center"/>
    </xf>
    <xf numFmtId="0" fontId="5" fillId="4" borderId="5" xfId="0" applyFont="1" applyFill="1" applyBorder="1">
      <alignment vertical="center"/>
    </xf>
    <xf numFmtId="0" fontId="5" fillId="4" borderId="6" xfId="0" applyFont="1" applyFill="1" applyBorder="1">
      <alignment vertical="center"/>
    </xf>
    <xf numFmtId="0" fontId="0" fillId="0" borderId="7" xfId="0" applyFont="1" applyFill="1" applyBorder="1">
      <alignment vertical="center"/>
    </xf>
    <xf numFmtId="0" fontId="0" fillId="0" borderId="8" xfId="0" applyFont="1" applyFill="1" applyBorder="1">
      <alignment vertical="center"/>
    </xf>
    <xf numFmtId="0" fontId="5" fillId="5" borderId="6" xfId="0" applyFont="1" applyFill="1" applyBorder="1">
      <alignment vertical="center"/>
    </xf>
    <xf numFmtId="0" fontId="5" fillId="5" borderId="9" xfId="0" applyFont="1" applyFill="1" applyBorder="1">
      <alignment vertical="center"/>
    </xf>
    <xf numFmtId="0" fontId="0" fillId="0" borderId="10" xfId="0" applyFont="1" applyFill="1" applyBorder="1">
      <alignment vertical="center"/>
    </xf>
    <xf numFmtId="176" fontId="6" fillId="0" borderId="1" xfId="0" applyNumberFormat="1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 wrapText="1"/>
    </xf>
    <xf numFmtId="177" fontId="7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176" fontId="6" fillId="6" borderId="1" xfId="0" applyNumberFormat="1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  <xf numFmtId="176" fontId="7" fillId="6" borderId="11" xfId="0" applyNumberFormat="1" applyFont="1" applyFill="1" applyBorder="1" applyAlignment="1">
      <alignment horizontal="center" vertical="center" wrapText="1"/>
    </xf>
    <xf numFmtId="176" fontId="7" fillId="6" borderId="12" xfId="0" applyNumberFormat="1" applyFont="1" applyFill="1" applyBorder="1" applyAlignment="1">
      <alignment horizontal="center" vertical="center" wrapText="1"/>
    </xf>
    <xf numFmtId="176" fontId="7" fillId="6" borderId="13" xfId="0" applyNumberFormat="1" applyFont="1" applyFill="1" applyBorder="1" applyAlignment="1">
      <alignment horizontal="center" vertical="center" wrapText="1"/>
    </xf>
    <xf numFmtId="177" fontId="6" fillId="6" borderId="1" xfId="0" applyNumberFormat="1" applyFont="1" applyFill="1" applyBorder="1" applyAlignment="1">
      <alignment horizontal="center" vertical="center" wrapText="1"/>
    </xf>
    <xf numFmtId="176" fontId="6" fillId="7" borderId="1" xfId="0" applyNumberFormat="1" applyFont="1" applyFill="1" applyBorder="1" applyAlignment="1">
      <alignment horizontal="center" vertical="center" wrapText="1"/>
    </xf>
    <xf numFmtId="177" fontId="7" fillId="0" borderId="2" xfId="0" applyNumberFormat="1" applyFont="1" applyFill="1" applyBorder="1" applyAlignment="1">
      <alignment horizontal="center" vertical="center" wrapText="1"/>
    </xf>
    <xf numFmtId="177" fontId="7" fillId="0" borderId="3" xfId="0" applyNumberFormat="1" applyFont="1" applyFill="1" applyBorder="1" applyAlignment="1">
      <alignment horizontal="center" vertical="center" wrapText="1"/>
    </xf>
    <xf numFmtId="177" fontId="7" fillId="0" borderId="4" xfId="0" applyNumberFormat="1" applyFont="1" applyFill="1" applyBorder="1" applyAlignment="1">
      <alignment horizontal="center" vertical="center" wrapText="1"/>
    </xf>
    <xf numFmtId="0" fontId="11" fillId="0" borderId="0" xfId="0" applyFont="1" applyFill="1" applyAlignment="1">
      <alignment vertical="center"/>
    </xf>
    <xf numFmtId="0" fontId="12" fillId="0" borderId="0" xfId="0" applyFont="1" applyFill="1" applyAlignment="1">
      <alignment horizontal="center" vertical="center"/>
    </xf>
    <xf numFmtId="0" fontId="11" fillId="0" borderId="1" xfId="0" applyFont="1" applyFill="1" applyBorder="1" applyAlignment="1">
      <alignment vertical="center"/>
    </xf>
    <xf numFmtId="0" fontId="13" fillId="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3" fillId="6" borderId="14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 wrapText="1"/>
    </xf>
    <xf numFmtId="0" fontId="13" fillId="6" borderId="15" xfId="0" applyFont="1" applyFill="1" applyBorder="1" applyAlignment="1">
      <alignment horizontal="center" vertical="center"/>
    </xf>
    <xf numFmtId="0" fontId="15" fillId="6" borderId="15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4" fillId="6" borderId="13" xfId="0" applyFont="1" applyFill="1" applyBorder="1" applyAlignment="1">
      <alignment vertical="center"/>
    </xf>
    <xf numFmtId="0" fontId="14" fillId="6" borderId="1" xfId="0" applyFont="1" applyFill="1" applyBorder="1" applyAlignment="1">
      <alignment vertical="center"/>
    </xf>
    <xf numFmtId="0" fontId="11" fillId="0" borderId="13" xfId="0" applyFont="1" applyFill="1" applyBorder="1" applyAlignment="1">
      <alignment vertical="center"/>
    </xf>
    <xf numFmtId="0" fontId="15" fillId="6" borderId="1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6" fillId="8" borderId="16" xfId="0" applyFont="1" applyFill="1" applyBorder="1" applyAlignment="1">
      <alignment horizontal="center" vertical="center" wrapText="1"/>
    </xf>
    <xf numFmtId="0" fontId="17" fillId="9" borderId="17" xfId="0" applyFont="1" applyFill="1" applyBorder="1" applyAlignment="1">
      <alignment horizontal="center" vertical="center" wrapText="1"/>
    </xf>
    <xf numFmtId="0" fontId="17" fillId="9" borderId="17" xfId="0" applyFont="1" applyFill="1" applyBorder="1" applyAlignment="1">
      <alignment horizontal="center" vertical="center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/>
    </xf>
    <xf numFmtId="0" fontId="17" fillId="9" borderId="0" xfId="0" applyFont="1" applyFill="1" applyBorder="1" applyAlignment="1">
      <alignment horizontal="center" vertical="center" wrapText="1"/>
    </xf>
    <xf numFmtId="0" fontId="17" fillId="9" borderId="0" xfId="0" applyFont="1" applyFill="1" applyBorder="1" applyAlignment="1">
      <alignment horizontal="center" vertical="center"/>
    </xf>
    <xf numFmtId="10" fontId="17" fillId="9" borderId="17" xfId="0" applyNumberFormat="1" applyFont="1" applyFill="1" applyBorder="1" applyAlignment="1">
      <alignment horizontal="center" vertical="center" wrapText="1"/>
    </xf>
    <xf numFmtId="9" fontId="17" fillId="9" borderId="17" xfId="0" applyNumberFormat="1" applyFont="1" applyFill="1" applyBorder="1" applyAlignment="1">
      <alignment horizontal="center" vertical="center" wrapText="1"/>
    </xf>
    <xf numFmtId="10" fontId="17" fillId="10" borderId="0" xfId="0" applyNumberFormat="1" applyFont="1" applyFill="1" applyBorder="1" applyAlignment="1">
      <alignment horizontal="center" vertical="center" wrapText="1"/>
    </xf>
    <xf numFmtId="10" fontId="17" fillId="9" borderId="0" xfId="0" applyNumberFormat="1" applyFont="1" applyFill="1" applyBorder="1" applyAlignment="1">
      <alignment horizontal="center" vertical="center" wrapText="1"/>
    </xf>
    <xf numFmtId="9" fontId="17" fillId="9" borderId="0" xfId="0" applyNumberFormat="1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" fillId="0" borderId="0" xfId="0" applyFont="1">
      <alignment vertical="center"/>
    </xf>
    <xf numFmtId="0" fontId="17" fillId="4" borderId="0" xfId="0" applyNumberFormat="1" applyFont="1" applyFill="1" applyBorder="1" applyAlignment="1"/>
    <xf numFmtId="0" fontId="1" fillId="11" borderId="0" xfId="0" applyNumberFormat="1" applyFont="1" applyFill="1" applyBorder="1" applyAlignment="1"/>
    <xf numFmtId="3" fontId="1" fillId="11" borderId="0" xfId="0" applyNumberFormat="1" applyFont="1" applyFill="1" applyBorder="1" applyAlignment="1"/>
    <xf numFmtId="10" fontId="1" fillId="11" borderId="0" xfId="0" applyNumberFormat="1" applyFont="1" applyFill="1" applyBorder="1" applyAlignment="1"/>
    <xf numFmtId="0" fontId="1" fillId="12" borderId="0" xfId="0" applyNumberFormat="1" applyFont="1" applyFill="1" applyBorder="1" applyAlignment="1"/>
    <xf numFmtId="3" fontId="1" fillId="12" borderId="0" xfId="0" applyNumberFormat="1" applyFont="1" applyFill="1" applyBorder="1" applyAlignment="1"/>
    <xf numFmtId="10" fontId="1" fillId="12" borderId="0" xfId="0" applyNumberFormat="1" applyFont="1" applyFill="1" applyBorder="1" applyAlignment="1"/>
    <xf numFmtId="9" fontId="1" fillId="12" borderId="0" xfId="0" applyNumberFormat="1" applyFont="1" applyFill="1" applyBorder="1" applyAlignment="1"/>
    <xf numFmtId="0" fontId="19" fillId="4" borderId="0" xfId="0" applyNumberFormat="1" applyFont="1" applyFill="1" applyBorder="1" applyAlignment="1"/>
    <xf numFmtId="0" fontId="0" fillId="11" borderId="0" xfId="0" applyNumberFormat="1" applyFont="1" applyFill="1" applyBorder="1" applyAlignment="1"/>
    <xf numFmtId="0" fontId="0" fillId="11" borderId="0" xfId="0" applyFont="1" applyFill="1" applyBorder="1">
      <alignment vertical="center"/>
    </xf>
    <xf numFmtId="0" fontId="0" fillId="12" borderId="0" xfId="0" applyNumberFormat="1" applyFont="1" applyFill="1" applyBorder="1" applyAlignment="1"/>
    <xf numFmtId="0" fontId="0" fillId="12" borderId="0" xfId="0" applyFont="1" applyFill="1" applyBorder="1">
      <alignment vertical="center"/>
    </xf>
    <xf numFmtId="10" fontId="0" fillId="11" borderId="0" xfId="0" applyNumberFormat="1" applyFont="1" applyFill="1" applyBorder="1" applyAlignment="1"/>
    <xf numFmtId="10" fontId="0" fillId="12" borderId="0" xfId="0" applyNumberFormat="1" applyFont="1" applyFill="1" applyBorder="1" applyAlignment="1"/>
    <xf numFmtId="9" fontId="0" fillId="11" borderId="0" xfId="0" applyNumberFormat="1" applyFont="1" applyFill="1" applyBorder="1" applyAlignment="1"/>
    <xf numFmtId="0" fontId="20" fillId="4" borderId="0" xfId="0" applyNumberFormat="1" applyFont="1" applyFill="1" applyAlignment="1">
      <alignment horizontal="center" vertical="center"/>
    </xf>
    <xf numFmtId="0" fontId="20" fillId="6" borderId="0" xfId="0" applyFont="1" applyFill="1" applyAlignment="1">
      <alignment horizontal="center" vertical="center"/>
    </xf>
    <xf numFmtId="0" fontId="1" fillId="13" borderId="0" xfId="0" applyNumberFormat="1" applyFont="1" applyFill="1" applyAlignment="1">
      <alignment horizontal="center" vertical="center"/>
    </xf>
    <xf numFmtId="0" fontId="1" fillId="13" borderId="0" xfId="0" applyNumberFormat="1" applyFont="1" applyFill="1" applyAlignment="1">
      <alignment vertical="center"/>
    </xf>
    <xf numFmtId="0" fontId="0" fillId="14" borderId="0" xfId="0" applyNumberFormat="1" applyFont="1" applyFill="1" applyBorder="1" applyAlignment="1"/>
    <xf numFmtId="0" fontId="0" fillId="15" borderId="0" xfId="0" applyNumberFormat="1" applyFont="1" applyFill="1" applyBorder="1" applyAlignment="1"/>
    <xf numFmtId="0" fontId="1" fillId="11" borderId="0" xfId="0" applyNumberFormat="1" applyFont="1" applyFill="1" applyAlignment="1">
      <alignment horizontal="center" vertical="center"/>
    </xf>
    <xf numFmtId="0" fontId="1" fillId="11" borderId="0" xfId="0" applyNumberFormat="1" applyFont="1" applyFill="1" applyAlignment="1">
      <alignment vertical="center"/>
    </xf>
    <xf numFmtId="10" fontId="0" fillId="14" borderId="0" xfId="0" applyNumberFormat="1" applyFont="1" applyFill="1" applyBorder="1" applyAlignment="1"/>
    <xf numFmtId="10" fontId="0" fillId="15" borderId="0" xfId="0" applyNumberFormat="1" applyFont="1" applyFill="1" applyBorder="1" applyAlignment="1"/>
    <xf numFmtId="9" fontId="0" fillId="14" borderId="0" xfId="0" applyNumberFormat="1" applyFont="1" applyFill="1" applyBorder="1" applyAlignment="1"/>
    <xf numFmtId="9" fontId="0" fillId="12" borderId="0" xfId="0" applyNumberFormat="1" applyFont="1" applyFill="1" applyBorder="1" applyAlignment="1"/>
    <xf numFmtId="0" fontId="1" fillId="0" borderId="0" xfId="0" applyFont="1" applyAlignment="1">
      <alignment horizontal="right" vertical="center"/>
    </xf>
    <xf numFmtId="0" fontId="21" fillId="0" borderId="0" xfId="0" applyFont="1">
      <alignment vertical="center"/>
    </xf>
    <xf numFmtId="0" fontId="14" fillId="4" borderId="0" xfId="0" applyNumberFormat="1" applyFont="1" applyFill="1" applyBorder="1" applyAlignment="1"/>
    <xf numFmtId="0" fontId="14" fillId="4" borderId="0" xfId="0" applyNumberFormat="1" applyFont="1" applyFill="1" applyBorder="1" applyAlignment="1">
      <alignment horizontal="right"/>
    </xf>
    <xf numFmtId="0" fontId="21" fillId="11" borderId="0" xfId="0" applyNumberFormat="1" applyFont="1" applyFill="1" applyBorder="1" applyAlignment="1"/>
    <xf numFmtId="3" fontId="21" fillId="11" borderId="0" xfId="0" applyNumberFormat="1" applyFont="1" applyFill="1" applyBorder="1" applyAlignment="1">
      <alignment horizontal="right"/>
    </xf>
    <xf numFmtId="10" fontId="21" fillId="11" borderId="0" xfId="0" applyNumberFormat="1" applyFont="1" applyFill="1" applyBorder="1" applyAlignment="1">
      <alignment horizontal="right"/>
    </xf>
    <xf numFmtId="0" fontId="21" fillId="12" borderId="0" xfId="0" applyNumberFormat="1" applyFont="1" applyFill="1" applyBorder="1" applyAlignment="1"/>
    <xf numFmtId="3" fontId="21" fillId="12" borderId="0" xfId="0" applyNumberFormat="1" applyFont="1" applyFill="1" applyBorder="1" applyAlignment="1">
      <alignment horizontal="right"/>
    </xf>
    <xf numFmtId="10" fontId="21" fillId="12" borderId="0" xfId="0" applyNumberFormat="1" applyFont="1" applyFill="1" applyBorder="1" applyAlignment="1">
      <alignment horizontal="right"/>
    </xf>
    <xf numFmtId="0" fontId="21" fillId="11" borderId="0" xfId="0" applyNumberFormat="1" applyFont="1" applyFill="1" applyBorder="1" applyAlignment="1">
      <alignment horizontal="right"/>
    </xf>
    <xf numFmtId="0" fontId="21" fillId="12" borderId="0" xfId="0" applyNumberFormat="1" applyFont="1" applyFill="1" applyBorder="1" applyAlignment="1">
      <alignment horizontal="right"/>
    </xf>
    <xf numFmtId="0" fontId="21" fillId="12" borderId="0" xfId="0" applyNumberFormat="1" applyFont="1" applyFill="1" applyBorder="1" applyAlignment="1">
      <alignment horizontal="center"/>
    </xf>
    <xf numFmtId="0" fontId="20" fillId="4" borderId="0" xfId="0" applyNumberFormat="1" applyFont="1" applyFill="1" applyBorder="1" applyAlignment="1"/>
    <xf numFmtId="9" fontId="21" fillId="12" borderId="0" xfId="0" applyNumberFormat="1" applyFont="1" applyFill="1" applyBorder="1" applyAlignment="1">
      <alignment horizontal="right"/>
    </xf>
    <xf numFmtId="0" fontId="21" fillId="11" borderId="0" xfId="0" applyFont="1" applyFill="1" applyBorder="1">
      <alignment vertical="center"/>
    </xf>
    <xf numFmtId="3" fontId="21" fillId="11" borderId="0" xfId="0" applyNumberFormat="1" applyFont="1" applyFill="1" applyBorder="1" applyAlignment="1"/>
    <xf numFmtId="10" fontId="21" fillId="11" borderId="0" xfId="0" applyNumberFormat="1" applyFont="1" applyFill="1" applyBorder="1" applyAlignment="1"/>
    <xf numFmtId="0" fontId="21" fillId="12" borderId="0" xfId="0" applyFont="1" applyFill="1" applyBorder="1">
      <alignment vertical="center"/>
    </xf>
    <xf numFmtId="3" fontId="21" fillId="12" borderId="0" xfId="0" applyNumberFormat="1" applyFont="1" applyFill="1" applyBorder="1" applyAlignment="1"/>
    <xf numFmtId="10" fontId="21" fillId="12" borderId="0" xfId="0" applyNumberFormat="1" applyFont="1" applyFill="1" applyBorder="1" applyAlignment="1"/>
    <xf numFmtId="0" fontId="21" fillId="11" borderId="0" xfId="0" applyNumberFormat="1" applyFont="1" applyFill="1" applyBorder="1" applyAlignment="1">
      <alignment horizontal="center"/>
    </xf>
    <xf numFmtId="9" fontId="21" fillId="11" borderId="0" xfId="0" applyNumberFormat="1" applyFont="1" applyFill="1" applyBorder="1" applyAlignment="1"/>
    <xf numFmtId="9" fontId="21" fillId="12" borderId="0" xfId="0" applyNumberFormat="1" applyFont="1" applyFill="1" applyBorder="1" applyAlignment="1"/>
    <xf numFmtId="0" fontId="22" fillId="0" borderId="0" xfId="0" applyFont="1">
      <alignment vertical="center"/>
    </xf>
    <xf numFmtId="10" fontId="22" fillId="0" borderId="0" xfId="0" applyNumberFormat="1" applyFont="1">
      <alignment vertical="center"/>
    </xf>
    <xf numFmtId="0" fontId="19" fillId="4" borderId="0" xfId="0" applyFont="1" applyFill="1" applyBorder="1">
      <alignment vertical="center"/>
    </xf>
    <xf numFmtId="10" fontId="19" fillId="4" borderId="0" xfId="0" applyNumberFormat="1" applyFont="1" applyFill="1" applyBorder="1">
      <alignment vertical="center"/>
    </xf>
    <xf numFmtId="10" fontId="0" fillId="12" borderId="0" xfId="0" applyNumberFormat="1" applyFont="1" applyFill="1" applyBorder="1">
      <alignment vertical="center"/>
    </xf>
    <xf numFmtId="10" fontId="0" fillId="11" borderId="0" xfId="0" applyNumberFormat="1" applyFont="1" applyFill="1" applyBorder="1">
      <alignment vertical="center"/>
    </xf>
    <xf numFmtId="0" fontId="0" fillId="0" borderId="0" xfId="0" applyNumberFormat="1" applyFont="1" applyFill="1" applyAlignment="1">
      <alignment wrapText="1"/>
    </xf>
    <xf numFmtId="0" fontId="0" fillId="0" borderId="0" xfId="0" applyNumberFormat="1" applyFont="1" applyFill="1" applyAlignment="1"/>
    <xf numFmtId="10" fontId="0" fillId="0" borderId="0" xfId="0" applyNumberFormat="1" applyFont="1" applyFill="1" applyAlignment="1"/>
    <xf numFmtId="9" fontId="0" fillId="0" borderId="0" xfId="0" applyNumberFormat="1" applyFont="1" applyFill="1" applyAlignment="1"/>
    <xf numFmtId="10" fontId="0" fillId="0" borderId="0" xfId="0" applyNumberFormat="1" applyFont="1" applyFill="1" applyAlignment="1">
      <alignment wrapText="1"/>
    </xf>
    <xf numFmtId="9" fontId="0" fillId="0" borderId="0" xfId="0" applyNumberFormat="1" applyFont="1" applyFill="1" applyAlignment="1">
      <alignment wrapText="1"/>
    </xf>
    <xf numFmtId="0" fontId="0" fillId="12" borderId="0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898">
    <open main="115" threadCnt="1"/>
    <sheetInfos>
      <sheetInfo cellCmpFml="893" sheetStid="1">
        <open main="13" threadCnt="1"/>
      </sheetInfo>
      <sheetInfo cellCmpFml="0" sheetStid="2">
        <open main="2" threadCnt="1"/>
      </sheetInfo>
      <sheetInfo cellCmpFml="0" sheetStid="3">
        <open main="4" threadCnt="1"/>
      </sheetInfo>
      <sheetInfo cellCmpFml="0" sheetStid="4">
        <open main="32" threadCnt="1"/>
      </sheetInfo>
      <sheetInfo cellCmpFml="0" sheetStid="5">
        <open threadCnt="1"/>
      </sheetInfo>
      <sheetInfo cellCmpFml="5" sheetStid="6">
        <open threadCnt="1"/>
      </sheetInfo>
      <sheetInfo cellCmpFml="0" sheetStid="8">
        <open threadCnt="1"/>
      </sheetInfo>
      <sheetInfo cellCmpFml="0" sheetStid="7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www.wps.cn/officeDocument/2023/relationships/woinfos" Target="woinfos.xml"/><Relationship Id="rId15" Type="http://www.wps.cn/officeDocument/2023/relationships/customStorage" Target="customStorage/customStorage.xml"/><Relationship Id="rId14" Type="http://schemas.openxmlformats.org/officeDocument/2006/relationships/styles" Target="styles.xml"/><Relationship Id="rId13" Type="http://schemas.openxmlformats.org/officeDocument/2006/relationships/customXml" Target="../customXml/item2.xml"/><Relationship Id="rId12" Type="http://schemas.openxmlformats.org/officeDocument/2006/relationships/customXml" Target="../customXml/item1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libaba.com/trade/search?CateId=127726080&amp;SearchText=TV+Receivers+&amp;+Accessories&amp;language=en&amp;indexArea=product_en" TargetMode="External"/><Relationship Id="rId1" Type="http://schemas.openxmlformats.org/officeDocument/2006/relationships/hyperlink" Target="https://www.alibaba.com/trade/search?spm=a27aq.13929330.IndustryCategory.24.29d93cadHUIi3J&amp;CateId=127726081&amp;SearchText=Mobile+Phone+Parts&amp;language=en&amp;indexArea=product_en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javascript:void(0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223"/>
  <sheetViews>
    <sheetView workbookViewId="0">
      <selection activeCell="E14" sqref="E14"/>
    </sheetView>
  </sheetViews>
  <sheetFormatPr defaultColWidth="9.14166666666667" defaultRowHeight="16.5"/>
  <cols>
    <col min="1" max="1" width="21.2333333333333" style="122" customWidth="1"/>
    <col min="2" max="2" width="29.7583333333333" style="122" customWidth="1"/>
    <col min="3" max="3" width="18.05" style="122" customWidth="1"/>
    <col min="4" max="4" width="9.14166666666667" style="122"/>
    <col min="5" max="5" width="11.125" style="123" customWidth="1"/>
    <col min="6" max="6" width="9.14166666666667" style="123"/>
    <col min="7" max="7" width="11.125" style="122" customWidth="1"/>
    <col min="8" max="8" width="14.7166666666667" style="122"/>
    <col min="9" max="9" width="9.14166666666667" style="122"/>
    <col min="10" max="10" width="45.2166666666667" style="122" customWidth="1"/>
    <col min="11" max="12" width="10.1416666666667" style="122" customWidth="1"/>
    <col min="13" max="13" width="15.075" style="122" customWidth="1"/>
    <col min="14" max="14" width="10.2833333333333" style="122" customWidth="1"/>
    <col min="15" max="16384" width="9.14166666666667" style="122"/>
  </cols>
  <sheetData>
    <row r="1" spans="1:8">
      <c r="A1" s="124" t="s">
        <v>0</v>
      </c>
      <c r="B1" s="124" t="s">
        <v>1</v>
      </c>
      <c r="C1" s="124" t="s">
        <v>2</v>
      </c>
      <c r="D1" s="124" t="s">
        <v>3</v>
      </c>
      <c r="E1" s="125" t="s">
        <v>4</v>
      </c>
      <c r="F1" s="125" t="s">
        <v>5</v>
      </c>
      <c r="G1" s="124" t="s">
        <v>6</v>
      </c>
      <c r="H1" s="124" t="s">
        <v>7</v>
      </c>
    </row>
    <row r="2" hidden="1" spans="1:14">
      <c r="A2" s="82" t="s">
        <v>8</v>
      </c>
      <c r="B2" s="82" t="s">
        <v>9</v>
      </c>
      <c r="C2" s="82" t="s">
        <v>10</v>
      </c>
      <c r="D2" s="82" t="e">
        <f>VLOOKUP(C2,$J$3:$N$78,2,FALSE)</f>
        <v>#N/A</v>
      </c>
      <c r="E2" s="126" t="e">
        <f>VLOOKUP(C2,$J$3:$N$78,3,FALSE)</f>
        <v>#N/A</v>
      </c>
      <c r="F2" s="126" t="e">
        <f>VLOOKUP(C2,$J$3:$N$78,4,FALSE)</f>
        <v>#N/A</v>
      </c>
      <c r="G2" s="82" t="e">
        <f>VLOOKUP(C2,$J$3:$N$78,5,FALSE)</f>
        <v>#N/A</v>
      </c>
      <c r="H2" s="82" t="e">
        <f>D2/G2</f>
        <v>#N/A</v>
      </c>
      <c r="J2" s="128" t="s">
        <v>11</v>
      </c>
      <c r="K2" s="129">
        <v>271</v>
      </c>
      <c r="L2" s="130">
        <v>-0.007</v>
      </c>
      <c r="M2" s="132">
        <v>0.1056</v>
      </c>
      <c r="N2" s="128">
        <v>106</v>
      </c>
    </row>
    <row r="3" spans="1:8">
      <c r="A3" s="80" t="s">
        <v>8</v>
      </c>
      <c r="B3" s="80" t="s">
        <v>12</v>
      </c>
      <c r="C3" s="80" t="s">
        <v>13</v>
      </c>
      <c r="D3" s="80">
        <f>VLOOKUP(C3,$J$3:$N$78,2,FALSE)</f>
        <v>5161</v>
      </c>
      <c r="E3" s="127">
        <f>VLOOKUP(C3,$J$3:$N$78,3,FALSE)</f>
        <v>0.36</v>
      </c>
      <c r="F3" s="127">
        <f>VLOOKUP(C3,$J$3:$N$78,4,FALSE)</f>
        <v>0.0352</v>
      </c>
      <c r="G3" s="80">
        <f>VLOOKUP(C3,$J$3:$N$78,5,FALSE)</f>
        <v>97</v>
      </c>
      <c r="H3" s="80">
        <f t="shared" ref="H3:H66" si="0">D3/G3</f>
        <v>53.2061855670103</v>
      </c>
    </row>
    <row r="4" ht="28.5" spans="1:14">
      <c r="A4" s="82" t="s">
        <v>8</v>
      </c>
      <c r="B4" s="82" t="s">
        <v>12</v>
      </c>
      <c r="C4" s="82" t="s">
        <v>14</v>
      </c>
      <c r="D4" s="82">
        <f>VLOOKUP(C4,$J$3:$N$78,2,FALSE)</f>
        <v>1912</v>
      </c>
      <c r="E4" s="126">
        <f>VLOOKUP(C4,$J$3:$N$78,3,FALSE)</f>
        <v>0.583</v>
      </c>
      <c r="F4" s="126">
        <f>VLOOKUP(C4,$J$3:$N$78,4,FALSE)</f>
        <v>0.0185</v>
      </c>
      <c r="G4" s="82">
        <f>VLOOKUP(C4,$J$3:$N$78,5,FALSE)</f>
        <v>61</v>
      </c>
      <c r="H4" s="82">
        <f t="shared" si="0"/>
        <v>31.344262295082</v>
      </c>
      <c r="J4" s="128" t="s">
        <v>15</v>
      </c>
      <c r="K4" s="129" t="s">
        <v>16</v>
      </c>
      <c r="L4" s="129">
        <v>273</v>
      </c>
      <c r="M4" s="130">
        <v>0.916</v>
      </c>
      <c r="N4" s="128" t="s">
        <v>17</v>
      </c>
    </row>
    <row r="5" hidden="1" spans="1:8">
      <c r="A5" s="82" t="s">
        <v>8</v>
      </c>
      <c r="B5" s="82" t="s">
        <v>12</v>
      </c>
      <c r="C5" s="82" t="s">
        <v>18</v>
      </c>
      <c r="D5" s="82" t="e">
        <f>VLOOKUP(C5,$J$3:$N$78,2,FALSE)</f>
        <v>#N/A</v>
      </c>
      <c r="E5" s="126" t="e">
        <f>VLOOKUP(C5,$J$3:$N$78,3,FALSE)</f>
        <v>#N/A</v>
      </c>
      <c r="F5" s="126" t="e">
        <f>VLOOKUP(C5,$J$3:$N$78,4,FALSE)</f>
        <v>#N/A</v>
      </c>
      <c r="G5" s="82" t="e">
        <f>VLOOKUP(C5,$J$3:$N$78,5,FALSE)</f>
        <v>#N/A</v>
      </c>
      <c r="H5" s="82" t="e">
        <f t="shared" si="0"/>
        <v>#N/A</v>
      </c>
    </row>
    <row r="6" spans="1:14">
      <c r="A6" s="80" t="s">
        <v>8</v>
      </c>
      <c r="B6" s="80" t="s">
        <v>19</v>
      </c>
      <c r="C6" s="80" t="s">
        <v>20</v>
      </c>
      <c r="D6" s="80">
        <f>VLOOKUP(C6,$J$3:$N$78,2,FALSE)</f>
        <v>1333</v>
      </c>
      <c r="E6" s="127">
        <f>VLOOKUP(C6,$J$3:$N$78,3,FALSE)</f>
        <v>0.218</v>
      </c>
      <c r="F6" s="127">
        <f>VLOOKUP(C6,$J$3:$N$78,4,FALSE)</f>
        <v>0.033</v>
      </c>
      <c r="G6" s="80">
        <f>VLOOKUP(C6,$J$3:$N$78,5,FALSE)</f>
        <v>141</v>
      </c>
      <c r="H6" s="80">
        <f t="shared" si="0"/>
        <v>9.45390070921986</v>
      </c>
      <c r="J6" s="128" t="s">
        <v>21</v>
      </c>
      <c r="K6" s="129">
        <v>87</v>
      </c>
      <c r="L6" s="130">
        <v>-0.234</v>
      </c>
      <c r="M6" s="132">
        <v>0.0333</v>
      </c>
      <c r="N6" s="128">
        <v>37</v>
      </c>
    </row>
    <row r="7" spans="1:14">
      <c r="A7" s="82" t="s">
        <v>8</v>
      </c>
      <c r="B7" s="82" t="s">
        <v>9</v>
      </c>
      <c r="C7" s="82" t="s">
        <v>22</v>
      </c>
      <c r="D7" s="82">
        <f>VLOOKUP(C7,$J$3:$N$78,2,FALSE)</f>
        <v>1047</v>
      </c>
      <c r="E7" s="126">
        <f>VLOOKUP(C7,$J$3:$N$78,3,FALSE)</f>
        <v>0.26</v>
      </c>
      <c r="F7" s="126">
        <f>VLOOKUP(C7,$J$3:$N$78,4,FALSE)</f>
        <v>0.0229</v>
      </c>
      <c r="G7" s="82">
        <f>VLOOKUP(C7,$J$3:$N$78,5,FALSE)</f>
        <v>104</v>
      </c>
      <c r="H7" s="82">
        <f t="shared" si="0"/>
        <v>10.0673076923077</v>
      </c>
      <c r="J7" s="128" t="s">
        <v>23</v>
      </c>
      <c r="K7" s="129">
        <v>42</v>
      </c>
      <c r="L7" s="130">
        <v>0.428</v>
      </c>
      <c r="M7" s="132">
        <v>0.0632</v>
      </c>
      <c r="N7" s="128">
        <v>37</v>
      </c>
    </row>
    <row r="8" spans="1:14">
      <c r="A8" s="80" t="s">
        <v>8</v>
      </c>
      <c r="B8" s="80" t="s">
        <v>9</v>
      </c>
      <c r="C8" s="80" t="s">
        <v>24</v>
      </c>
      <c r="D8" s="80">
        <f>VLOOKUP(C8,$J$3:$N$78,2,FALSE)</f>
        <v>694</v>
      </c>
      <c r="E8" s="127">
        <f>VLOOKUP(C8,$J$3:$N$78,3,FALSE)</f>
        <v>1.429</v>
      </c>
      <c r="F8" s="127">
        <f>VLOOKUP(C8,$J$3:$N$78,4,FALSE)</f>
        <v>0.0116</v>
      </c>
      <c r="G8" s="80">
        <f>VLOOKUP(C8,$J$3:$N$78,5,FALSE)</f>
        <v>51</v>
      </c>
      <c r="H8" s="80">
        <f t="shared" si="0"/>
        <v>13.6078431372549</v>
      </c>
      <c r="J8" s="128" t="s">
        <v>25</v>
      </c>
      <c r="K8" s="129">
        <v>48</v>
      </c>
      <c r="L8" s="130">
        <v>-0.018</v>
      </c>
      <c r="M8" s="132">
        <v>0.0783</v>
      </c>
      <c r="N8" s="128">
        <v>32</v>
      </c>
    </row>
    <row r="9" spans="1:8">
      <c r="A9" s="82" t="s">
        <v>8</v>
      </c>
      <c r="B9" s="82" t="s">
        <v>12</v>
      </c>
      <c r="C9" s="82" t="s">
        <v>26</v>
      </c>
      <c r="D9" s="82">
        <f>VLOOKUP(C9,$J$3:$N$78,2,FALSE)</f>
        <v>573</v>
      </c>
      <c r="E9" s="126">
        <f>VLOOKUP(C9,$J$3:$N$78,3,FALSE)</f>
        <v>0.07</v>
      </c>
      <c r="F9" s="126">
        <f>VLOOKUP(C9,$J$3:$N$78,4,FALSE)</f>
        <v>0.0337</v>
      </c>
      <c r="G9" s="82">
        <f>VLOOKUP(C9,$J$3:$N$78,5,FALSE)</f>
        <v>74</v>
      </c>
      <c r="H9" s="82">
        <f t="shared" si="0"/>
        <v>7.74324324324324</v>
      </c>
    </row>
    <row r="10" spans="1:14">
      <c r="A10" s="80" t="s">
        <v>8</v>
      </c>
      <c r="B10" s="80" t="s">
        <v>19</v>
      </c>
      <c r="C10" s="80" t="s">
        <v>27</v>
      </c>
      <c r="D10" s="80">
        <f>VLOOKUP(C10,$J$3:$N$78,2,FALSE)</f>
        <v>522</v>
      </c>
      <c r="E10" s="127">
        <f>VLOOKUP(C10,$J$3:$N$78,3,FALSE)</f>
        <v>0.148</v>
      </c>
      <c r="F10" s="127">
        <f>VLOOKUP(C10,$J$3:$N$78,4,FALSE)</f>
        <v>0.0482</v>
      </c>
      <c r="G10" s="80">
        <f>VLOOKUP(C10,$J$3:$N$78,5,FALSE)</f>
        <v>130</v>
      </c>
      <c r="H10" s="80">
        <f t="shared" si="0"/>
        <v>4.01538461538462</v>
      </c>
      <c r="J10" s="128" t="s">
        <v>28</v>
      </c>
      <c r="K10" s="129">
        <v>21</v>
      </c>
      <c r="L10" s="130">
        <v>-0.404</v>
      </c>
      <c r="M10" s="132">
        <v>0.0147</v>
      </c>
      <c r="N10" s="128">
        <v>25</v>
      </c>
    </row>
    <row r="11" spans="1:8">
      <c r="A11" s="82" t="s">
        <v>8</v>
      </c>
      <c r="B11" s="82" t="s">
        <v>12</v>
      </c>
      <c r="C11" s="82" t="s">
        <v>29</v>
      </c>
      <c r="D11" s="82">
        <f>VLOOKUP(C11,$J$3:$N$78,2,FALSE)</f>
        <v>508</v>
      </c>
      <c r="E11" s="126">
        <f>VLOOKUP(C11,$J$3:$N$78,3,FALSE)</f>
        <v>0.262</v>
      </c>
      <c r="F11" s="126" t="str">
        <f>VLOOKUP(C11,$J$3:$N$78,4,FALSE)</f>
        <v>3.32%
0%</v>
      </c>
      <c r="G11" s="82">
        <f>VLOOKUP(C11,$J$3:$N$78,5,FALSE)</f>
        <v>75</v>
      </c>
      <c r="H11" s="82">
        <f t="shared" si="0"/>
        <v>6.77333333333333</v>
      </c>
    </row>
    <row r="12" spans="1:14">
      <c r="A12" s="80" t="s">
        <v>8</v>
      </c>
      <c r="B12" s="80" t="s">
        <v>9</v>
      </c>
      <c r="C12" s="80" t="s">
        <v>30</v>
      </c>
      <c r="D12" s="80">
        <f>VLOOKUP(C12,$J$3:$N$78,2,FALSE)</f>
        <v>472</v>
      </c>
      <c r="E12" s="127">
        <f>VLOOKUP(C12,$J$3:$N$78,3,FALSE)</f>
        <v>0.039</v>
      </c>
      <c r="F12" s="127">
        <f>VLOOKUP(C12,$J$3:$N$78,4,FALSE)</f>
        <v>0.02</v>
      </c>
      <c r="G12" s="80">
        <f>VLOOKUP(C12,$J$3:$N$78,5,FALSE)</f>
        <v>35</v>
      </c>
      <c r="H12" s="80">
        <f t="shared" si="0"/>
        <v>13.4857142857143</v>
      </c>
      <c r="J12" s="128" t="s">
        <v>31</v>
      </c>
      <c r="K12" s="129">
        <v>112</v>
      </c>
      <c r="L12" s="130">
        <v>0.448</v>
      </c>
      <c r="M12" s="132">
        <v>0.071</v>
      </c>
      <c r="N12" s="128">
        <v>15</v>
      </c>
    </row>
    <row r="13" spans="1:14">
      <c r="A13" s="82" t="s">
        <v>8</v>
      </c>
      <c r="B13" s="82" t="s">
        <v>9</v>
      </c>
      <c r="C13" s="82" t="s">
        <v>32</v>
      </c>
      <c r="D13" s="82">
        <f>VLOOKUP(C13,$J$3:$N$78,2,FALSE)</f>
        <v>462</v>
      </c>
      <c r="E13" s="126">
        <f>VLOOKUP(C13,$J$3:$N$78,3,FALSE)</f>
        <v>-0.769</v>
      </c>
      <c r="F13" s="126">
        <f>VLOOKUP(C13,$J$3:$N$78,4,FALSE)</f>
        <v>0.0412</v>
      </c>
      <c r="G13" s="82">
        <f>VLOOKUP(C13,$J$3:$N$78,5,FALSE)</f>
        <v>34</v>
      </c>
      <c r="H13" s="82">
        <f t="shared" si="0"/>
        <v>13.5882352941176</v>
      </c>
      <c r="J13" s="128" t="s">
        <v>33</v>
      </c>
      <c r="K13" s="129">
        <v>115</v>
      </c>
      <c r="L13" s="131">
        <v>0.01</v>
      </c>
      <c r="M13" s="133">
        <v>0.01</v>
      </c>
      <c r="N13" s="128">
        <v>12</v>
      </c>
    </row>
    <row r="14" spans="1:14">
      <c r="A14" s="80" t="s">
        <v>8</v>
      </c>
      <c r="B14" s="80" t="s">
        <v>9</v>
      </c>
      <c r="C14" s="80" t="s">
        <v>34</v>
      </c>
      <c r="D14" s="80">
        <f>VLOOKUP(C14,$J$3:$N$78,2,FALSE)</f>
        <v>427</v>
      </c>
      <c r="E14" s="127">
        <f>VLOOKUP(C14,$J$3:$N$78,3,FALSE)</f>
        <v>1.056</v>
      </c>
      <c r="F14" s="127">
        <f>VLOOKUP(C14,$J$3:$N$78,4,FALSE)</f>
        <v>0.0457</v>
      </c>
      <c r="G14" s="80">
        <f>VLOOKUP(C14,$J$3:$N$78,5,FALSE)</f>
        <v>54</v>
      </c>
      <c r="H14" s="80">
        <f t="shared" si="0"/>
        <v>7.90740740740741</v>
      </c>
      <c r="J14" s="128" t="s">
        <v>35</v>
      </c>
      <c r="K14" s="129">
        <v>60</v>
      </c>
      <c r="L14" s="130">
        <v>0.161</v>
      </c>
      <c r="M14" s="132">
        <v>0.0095</v>
      </c>
      <c r="N14" s="128">
        <v>19</v>
      </c>
    </row>
    <row r="15" spans="1:14">
      <c r="A15" s="82" t="s">
        <v>8</v>
      </c>
      <c r="B15" s="82" t="s">
        <v>9</v>
      </c>
      <c r="C15" s="82" t="s">
        <v>36</v>
      </c>
      <c r="D15" s="82">
        <f>VLOOKUP(C15,$J$3:$N$78,2,FALSE)</f>
        <v>409</v>
      </c>
      <c r="E15" s="126">
        <f>VLOOKUP(C15,$J$3:$N$78,3,FALSE)</f>
        <v>0.514</v>
      </c>
      <c r="F15" s="126">
        <f>VLOOKUP(C15,$J$3:$N$78,4,FALSE)</f>
        <v>0.0372</v>
      </c>
      <c r="G15" s="82">
        <f>VLOOKUP(C15,$J$3:$N$78,5,FALSE)</f>
        <v>107</v>
      </c>
      <c r="H15" s="82">
        <f t="shared" si="0"/>
        <v>3.82242990654206</v>
      </c>
      <c r="J15" s="128" t="s">
        <v>37</v>
      </c>
      <c r="K15" s="129">
        <v>50</v>
      </c>
      <c r="L15" s="130">
        <v>-0.021</v>
      </c>
      <c r="M15" s="132">
        <v>0.0533</v>
      </c>
      <c r="N15" s="128">
        <v>7</v>
      </c>
    </row>
    <row r="16" spans="1:14">
      <c r="A16" s="80" t="s">
        <v>8</v>
      </c>
      <c r="B16" s="80" t="s">
        <v>9</v>
      </c>
      <c r="C16" s="80" t="s">
        <v>38</v>
      </c>
      <c r="D16" s="80">
        <f>VLOOKUP(C16,$J$3:$N$78,2,FALSE)</f>
        <v>298</v>
      </c>
      <c r="E16" s="127">
        <f>VLOOKUP(C16,$J$3:$N$78,3,FALSE)</f>
        <v>0.166</v>
      </c>
      <c r="F16" s="127">
        <f>VLOOKUP(C16,$J$3:$N$78,4,FALSE)</f>
        <v>0.0341</v>
      </c>
      <c r="G16" s="80">
        <f>VLOOKUP(C16,$J$3:$N$78,5,FALSE)</f>
        <v>77</v>
      </c>
      <c r="H16" s="80">
        <f t="shared" si="0"/>
        <v>3.87012987012987</v>
      </c>
      <c r="J16" s="128" t="s">
        <v>39</v>
      </c>
      <c r="K16" s="129">
        <v>31</v>
      </c>
      <c r="L16" s="130">
        <v>0.545</v>
      </c>
      <c r="M16" s="132">
        <v>0.042</v>
      </c>
      <c r="N16" s="128">
        <v>7</v>
      </c>
    </row>
    <row r="17" spans="1:14">
      <c r="A17" s="82" t="s">
        <v>8</v>
      </c>
      <c r="B17" s="82" t="s">
        <v>9</v>
      </c>
      <c r="C17" s="82" t="s">
        <v>40</v>
      </c>
      <c r="D17" s="82">
        <f>VLOOKUP(C17,$J$3:$N$78,2,FALSE)</f>
        <v>285</v>
      </c>
      <c r="E17" s="126">
        <f>VLOOKUP(C17,$J$3:$N$78,3,FALSE)</f>
        <v>0.125</v>
      </c>
      <c r="F17" s="126">
        <f>VLOOKUP(C17,$J$3:$N$78,4,FALSE)</f>
        <v>0.0147</v>
      </c>
      <c r="G17" s="82">
        <f>VLOOKUP(C17,$J$3:$N$78,5,FALSE)</f>
        <v>20</v>
      </c>
      <c r="H17" s="82">
        <f t="shared" si="0"/>
        <v>14.25</v>
      </c>
      <c r="J17" s="128" t="s">
        <v>41</v>
      </c>
      <c r="K17" s="129">
        <v>157</v>
      </c>
      <c r="L17" s="130">
        <v>0.016</v>
      </c>
      <c r="M17" s="132">
        <v>0.0294</v>
      </c>
      <c r="N17" s="128">
        <v>50</v>
      </c>
    </row>
    <row r="18" spans="1:14">
      <c r="A18" s="80" t="s">
        <v>8</v>
      </c>
      <c r="B18" s="80" t="s">
        <v>42</v>
      </c>
      <c r="C18" s="80" t="s">
        <v>43</v>
      </c>
      <c r="D18" s="80">
        <f>VLOOKUP(C18,$J$3:$N$78,2,FALSE)</f>
        <v>276</v>
      </c>
      <c r="E18" s="127">
        <f>VLOOKUP(C18,$J$3:$N$78,3,FALSE)</f>
        <v>0.14</v>
      </c>
      <c r="F18" s="127">
        <f>VLOOKUP(C18,$J$3:$N$78,4,FALSE)</f>
        <v>0.0403</v>
      </c>
      <c r="G18" s="80">
        <f>VLOOKUP(C18,$J$3:$N$78,5,FALSE)</f>
        <v>44</v>
      </c>
      <c r="H18" s="80">
        <f t="shared" si="0"/>
        <v>6.27272727272727</v>
      </c>
      <c r="J18" s="128" t="s">
        <v>44</v>
      </c>
      <c r="K18" s="129">
        <v>1333</v>
      </c>
      <c r="L18" s="130">
        <v>0.218</v>
      </c>
      <c r="M18" s="132">
        <v>0.033</v>
      </c>
      <c r="N18" s="128">
        <v>141</v>
      </c>
    </row>
    <row r="19" spans="1:14">
      <c r="A19" s="82" t="s">
        <v>8</v>
      </c>
      <c r="B19" s="82" t="s">
        <v>9</v>
      </c>
      <c r="C19" s="82" t="s">
        <v>45</v>
      </c>
      <c r="D19" s="82">
        <f>VLOOKUP(C19,$J$3:$N$78,2,FALSE)</f>
        <v>188</v>
      </c>
      <c r="E19" s="126">
        <f>VLOOKUP(C19,$J$3:$N$78,3,FALSE)</f>
        <v>0.345</v>
      </c>
      <c r="F19" s="126">
        <f>VLOOKUP(C19,$J$3:$N$78,4,FALSE)</f>
        <v>0.0122</v>
      </c>
      <c r="G19" s="82">
        <f>VLOOKUP(C19,$J$3:$N$78,5,FALSE)</f>
        <v>35</v>
      </c>
      <c r="H19" s="82">
        <f t="shared" si="0"/>
        <v>5.37142857142857</v>
      </c>
      <c r="J19" s="128" t="s">
        <v>46</v>
      </c>
      <c r="K19" s="129">
        <v>31</v>
      </c>
      <c r="L19" s="130">
        <v>-0.484</v>
      </c>
      <c r="M19" s="132">
        <v>0.0328</v>
      </c>
      <c r="N19" s="128">
        <v>18</v>
      </c>
    </row>
    <row r="20" spans="1:14">
      <c r="A20" s="80" t="s">
        <v>8</v>
      </c>
      <c r="B20" s="80" t="s">
        <v>19</v>
      </c>
      <c r="C20" s="80" t="s">
        <v>47</v>
      </c>
      <c r="D20" s="80">
        <f>VLOOKUP(C20,$J$3:$N$78,2,FALSE)</f>
        <v>183</v>
      </c>
      <c r="E20" s="127">
        <f>VLOOKUP(C20,$J$3:$N$78,3,FALSE)</f>
        <v>0.088</v>
      </c>
      <c r="F20" s="127">
        <f>VLOOKUP(C20,$J$3:$N$78,4,FALSE)</f>
        <v>0.0457</v>
      </c>
      <c r="G20" s="80">
        <f>VLOOKUP(C20,$J$3:$N$78,5,FALSE)</f>
        <v>93</v>
      </c>
      <c r="H20" s="80">
        <f t="shared" si="0"/>
        <v>1.96774193548387</v>
      </c>
      <c r="J20" s="128" t="s">
        <v>48</v>
      </c>
      <c r="K20" s="129">
        <v>5161</v>
      </c>
      <c r="L20" s="131">
        <v>0.36</v>
      </c>
      <c r="M20" s="132">
        <v>0.0352</v>
      </c>
      <c r="N20" s="128">
        <v>97</v>
      </c>
    </row>
    <row r="21" spans="1:14">
      <c r="A21" s="82" t="s">
        <v>8</v>
      </c>
      <c r="B21" s="82" t="s">
        <v>9</v>
      </c>
      <c r="C21" s="82" t="s">
        <v>49</v>
      </c>
      <c r="D21" s="82">
        <f>VLOOKUP(C21,$J$3:$N$78,2,FALSE)</f>
        <v>168</v>
      </c>
      <c r="E21" s="126">
        <f>VLOOKUP(C21,$J$3:$N$78,3,FALSE)</f>
        <v>1.126</v>
      </c>
      <c r="F21" s="126">
        <f>VLOOKUP(C21,$J$3:$N$78,4,FALSE)</f>
        <v>0.0186</v>
      </c>
      <c r="G21" s="82">
        <f>VLOOKUP(C21,$J$3:$N$78,5,FALSE)</f>
        <v>31</v>
      </c>
      <c r="H21" s="82">
        <f t="shared" si="0"/>
        <v>5.41935483870968</v>
      </c>
      <c r="J21" s="128" t="s">
        <v>50</v>
      </c>
      <c r="K21" s="129">
        <v>11</v>
      </c>
      <c r="L21" s="131">
        <v>0</v>
      </c>
      <c r="M21" s="132">
        <v>0.0357</v>
      </c>
      <c r="N21" s="128">
        <v>9</v>
      </c>
    </row>
    <row r="22" spans="1:14">
      <c r="A22" s="80" t="s">
        <v>8</v>
      </c>
      <c r="B22" s="80" t="s">
        <v>42</v>
      </c>
      <c r="C22" s="80" t="s">
        <v>51</v>
      </c>
      <c r="D22" s="80">
        <f>VLOOKUP(C22,$J$3:$N$78,2,FALSE)</f>
        <v>166</v>
      </c>
      <c r="E22" s="127">
        <f>VLOOKUP(C22,$J$3:$N$78,3,FALSE)</f>
        <v>0.363</v>
      </c>
      <c r="F22" s="127">
        <f>VLOOKUP(C22,$J$3:$N$78,4,FALSE)</f>
        <v>0.1158</v>
      </c>
      <c r="G22" s="80">
        <f>VLOOKUP(C22,$J$3:$N$78,5,FALSE)</f>
        <v>98</v>
      </c>
      <c r="H22" s="80">
        <f t="shared" si="0"/>
        <v>1.69387755102041</v>
      </c>
      <c r="J22" s="128" t="s">
        <v>52</v>
      </c>
      <c r="K22" s="129">
        <v>34</v>
      </c>
      <c r="L22" s="130">
        <v>-0.132</v>
      </c>
      <c r="M22" s="132">
        <v>0.0647</v>
      </c>
      <c r="N22" s="128">
        <v>7</v>
      </c>
    </row>
    <row r="23" spans="1:14">
      <c r="A23" s="82" t="s">
        <v>8</v>
      </c>
      <c r="B23" s="82" t="s">
        <v>9</v>
      </c>
      <c r="C23" s="82" t="s">
        <v>53</v>
      </c>
      <c r="D23" s="82">
        <f>VLOOKUP(C23,$J$3:$N$78,2,FALSE)</f>
        <v>158</v>
      </c>
      <c r="E23" s="126">
        <f>VLOOKUP(C23,$J$3:$N$78,3,FALSE)</f>
        <v>0.112</v>
      </c>
      <c r="F23" s="126">
        <f>VLOOKUP(C23,$J$3:$N$78,4,FALSE)</f>
        <v>0.088</v>
      </c>
      <c r="G23" s="82">
        <f>VLOOKUP(C23,$J$3:$N$78,5,FALSE)</f>
        <v>78</v>
      </c>
      <c r="H23" s="82">
        <f t="shared" si="0"/>
        <v>2.02564102564103</v>
      </c>
      <c r="J23" s="128" t="s">
        <v>54</v>
      </c>
      <c r="K23" s="129">
        <v>168</v>
      </c>
      <c r="L23" s="130">
        <v>1.126</v>
      </c>
      <c r="M23" s="132">
        <v>0.0186</v>
      </c>
      <c r="N23" s="128">
        <v>31</v>
      </c>
    </row>
    <row r="24" spans="1:14">
      <c r="A24" s="80" t="s">
        <v>8</v>
      </c>
      <c r="B24" s="80" t="s">
        <v>42</v>
      </c>
      <c r="C24" s="80" t="s">
        <v>55</v>
      </c>
      <c r="D24" s="80">
        <f>VLOOKUP(C24,$J$3:$N$78,2,FALSE)</f>
        <v>153</v>
      </c>
      <c r="E24" s="127">
        <f>VLOOKUP(C24,$J$3:$N$78,3,FALSE)</f>
        <v>0.284</v>
      </c>
      <c r="F24" s="127">
        <f>VLOOKUP(C24,$J$3:$N$78,4,FALSE)</f>
        <v>0.0313</v>
      </c>
      <c r="G24" s="80">
        <f>VLOOKUP(C24,$J$3:$N$78,5,FALSE)</f>
        <v>67</v>
      </c>
      <c r="H24" s="80">
        <f t="shared" si="0"/>
        <v>2.28358208955224</v>
      </c>
      <c r="J24" s="128" t="s">
        <v>56</v>
      </c>
      <c r="K24" s="129">
        <v>38</v>
      </c>
      <c r="L24" s="131">
        <v>-0.21</v>
      </c>
      <c r="M24" s="132">
        <v>0.0988</v>
      </c>
      <c r="N24" s="128">
        <v>5</v>
      </c>
    </row>
    <row r="25" spans="1:14">
      <c r="A25" s="82" t="s">
        <v>8</v>
      </c>
      <c r="B25" s="82" t="s">
        <v>9</v>
      </c>
      <c r="C25" s="82" t="s">
        <v>57</v>
      </c>
      <c r="D25" s="82">
        <f>VLOOKUP(C25,$J$3:$N$78,2,FALSE)</f>
        <v>128</v>
      </c>
      <c r="E25" s="126">
        <f>VLOOKUP(C25,$J$3:$N$78,3,FALSE)</f>
        <v>-0.292</v>
      </c>
      <c r="F25" s="126">
        <f>VLOOKUP(C25,$J$3:$N$78,4,FALSE)</f>
        <v>0.0213</v>
      </c>
      <c r="G25" s="82">
        <f>VLOOKUP(C25,$J$3:$N$78,5,FALSE)</f>
        <v>30</v>
      </c>
      <c r="H25" s="82">
        <f t="shared" si="0"/>
        <v>4.26666666666667</v>
      </c>
      <c r="J25" s="128" t="s">
        <v>58</v>
      </c>
      <c r="K25" s="129">
        <v>285</v>
      </c>
      <c r="L25" s="130">
        <v>0.125</v>
      </c>
      <c r="M25" s="132">
        <v>0.0147</v>
      </c>
      <c r="N25" s="128">
        <v>20</v>
      </c>
    </row>
    <row r="26" spans="1:14">
      <c r="A26" s="80" t="s">
        <v>8</v>
      </c>
      <c r="B26" s="80" t="s">
        <v>9</v>
      </c>
      <c r="C26" s="80" t="s">
        <v>59</v>
      </c>
      <c r="D26" s="80">
        <f>VLOOKUP(C26,$J$3:$N$78,2,FALSE)</f>
        <v>115</v>
      </c>
      <c r="E26" s="127">
        <f>VLOOKUP(C26,$J$3:$N$78,3,FALSE)</f>
        <v>0.01</v>
      </c>
      <c r="F26" s="127">
        <f>VLOOKUP(C26,$J$3:$N$78,4,FALSE)</f>
        <v>0.01</v>
      </c>
      <c r="G26" s="80">
        <f>VLOOKUP(C26,$J$3:$N$78,5,FALSE)</f>
        <v>12</v>
      </c>
      <c r="H26" s="80">
        <f t="shared" si="0"/>
        <v>9.58333333333333</v>
      </c>
      <c r="J26" s="128" t="s">
        <v>60</v>
      </c>
      <c r="K26" s="129">
        <v>83</v>
      </c>
      <c r="L26" s="130">
        <v>-0.067</v>
      </c>
      <c r="M26" s="132">
        <v>0.0418</v>
      </c>
      <c r="N26" s="128">
        <v>25</v>
      </c>
    </row>
    <row r="27" spans="1:14">
      <c r="A27" s="82" t="s">
        <v>8</v>
      </c>
      <c r="B27" s="82" t="s">
        <v>9</v>
      </c>
      <c r="C27" s="82" t="s">
        <v>61</v>
      </c>
      <c r="D27" s="82">
        <f>VLOOKUP(C27,$J$3:$N$78,2,FALSE)</f>
        <v>112</v>
      </c>
      <c r="E27" s="126">
        <f>VLOOKUP(C27,$J$3:$N$78,3,FALSE)</f>
        <v>0.448</v>
      </c>
      <c r="F27" s="126">
        <f>VLOOKUP(C27,$J$3:$N$78,4,FALSE)</f>
        <v>0.071</v>
      </c>
      <c r="G27" s="82">
        <f>VLOOKUP(C27,$J$3:$N$78,5,FALSE)</f>
        <v>15</v>
      </c>
      <c r="H27" s="82">
        <f t="shared" si="0"/>
        <v>7.46666666666667</v>
      </c>
      <c r="J27" s="128" t="s">
        <v>62</v>
      </c>
      <c r="K27" s="129">
        <v>1047</v>
      </c>
      <c r="L27" s="131">
        <v>0.26</v>
      </c>
      <c r="M27" s="132">
        <v>0.0229</v>
      </c>
      <c r="N27" s="128">
        <v>104</v>
      </c>
    </row>
    <row r="28" spans="1:14">
      <c r="A28" s="80" t="s">
        <v>8</v>
      </c>
      <c r="B28" s="80" t="s">
        <v>19</v>
      </c>
      <c r="C28" s="80" t="s">
        <v>63</v>
      </c>
      <c r="D28" s="80">
        <f>VLOOKUP(C28,$J$3:$N$78,2,FALSE)</f>
        <v>98</v>
      </c>
      <c r="E28" s="127">
        <f>VLOOKUP(C28,$J$3:$N$78,3,FALSE)</f>
        <v>0.068</v>
      </c>
      <c r="F28" s="127">
        <f>VLOOKUP(C28,$J$3:$N$78,4,FALSE)</f>
        <v>0.0219</v>
      </c>
      <c r="G28" s="80">
        <f>VLOOKUP(C28,$J$3:$N$78,5,FALSE)</f>
        <v>25</v>
      </c>
      <c r="H28" s="80">
        <f t="shared" si="0"/>
        <v>3.92</v>
      </c>
      <c r="J28" s="128" t="s">
        <v>64</v>
      </c>
      <c r="K28" s="129">
        <v>573</v>
      </c>
      <c r="L28" s="131">
        <v>0.07</v>
      </c>
      <c r="M28" s="132">
        <v>0.0337</v>
      </c>
      <c r="N28" s="128">
        <v>74</v>
      </c>
    </row>
    <row r="29" spans="1:8">
      <c r="A29" s="82" t="s">
        <v>8</v>
      </c>
      <c r="B29" s="82" t="s">
        <v>12</v>
      </c>
      <c r="C29" s="82" t="s">
        <v>65</v>
      </c>
      <c r="D29" s="82">
        <f>VLOOKUP(C29,$J$3:$N$78,2,FALSE)</f>
        <v>87</v>
      </c>
      <c r="E29" s="126">
        <f>VLOOKUP(C29,$J$3:$N$78,3,FALSE)</f>
        <v>-0.234</v>
      </c>
      <c r="F29" s="126">
        <f>VLOOKUP(C29,$J$3:$N$78,4,FALSE)</f>
        <v>0.0333</v>
      </c>
      <c r="G29" s="82">
        <f>VLOOKUP(C29,$J$3:$N$78,5,FALSE)</f>
        <v>37</v>
      </c>
      <c r="H29" s="82">
        <f t="shared" si="0"/>
        <v>2.35135135135135</v>
      </c>
    </row>
    <row r="30" spans="1:14">
      <c r="A30" s="80" t="s">
        <v>8</v>
      </c>
      <c r="B30" s="80" t="s">
        <v>9</v>
      </c>
      <c r="C30" s="80" t="s">
        <v>66</v>
      </c>
      <c r="D30" s="80">
        <f>VLOOKUP(C30,$J$3:$N$78,2,FALSE)</f>
        <v>84</v>
      </c>
      <c r="E30" s="127">
        <f>VLOOKUP(C30,$J$3:$N$78,3,FALSE)</f>
        <v>0.203</v>
      </c>
      <c r="F30" s="127">
        <f>VLOOKUP(C30,$J$3:$N$78,4,FALSE)</f>
        <v>0.1165</v>
      </c>
      <c r="G30" s="80">
        <f>VLOOKUP(C30,$J$3:$N$78,5,FALSE)</f>
        <v>25</v>
      </c>
      <c r="H30" s="80">
        <f t="shared" si="0"/>
        <v>3.36</v>
      </c>
      <c r="J30" s="128" t="s">
        <v>32</v>
      </c>
      <c r="K30" s="129">
        <v>462</v>
      </c>
      <c r="L30" s="130">
        <v>-0.769</v>
      </c>
      <c r="M30" s="132">
        <v>0.0412</v>
      </c>
      <c r="N30" s="128">
        <v>34</v>
      </c>
    </row>
    <row r="31" spans="1:14">
      <c r="A31" s="82" t="s">
        <v>8</v>
      </c>
      <c r="B31" s="82" t="s">
        <v>9</v>
      </c>
      <c r="C31" s="82" t="s">
        <v>67</v>
      </c>
      <c r="D31" s="82">
        <f>VLOOKUP(C31,$J$3:$N$78,2,FALSE)</f>
        <v>84</v>
      </c>
      <c r="E31" s="126">
        <f>VLOOKUP(C31,$J$3:$N$78,3,FALSE)</f>
        <v>0.558</v>
      </c>
      <c r="F31" s="126">
        <f>VLOOKUP(C31,$J$3:$N$78,4,FALSE)</f>
        <v>0.0217</v>
      </c>
      <c r="G31" s="82">
        <f>VLOOKUP(C31,$J$3:$N$78,5,FALSE)</f>
        <v>10</v>
      </c>
      <c r="H31" s="82">
        <f t="shared" si="0"/>
        <v>8.4</v>
      </c>
      <c r="J31" s="128" t="s">
        <v>68</v>
      </c>
      <c r="K31" s="129">
        <v>166</v>
      </c>
      <c r="L31" s="130">
        <v>0.363</v>
      </c>
      <c r="M31" s="132">
        <v>0.1158</v>
      </c>
      <c r="N31" s="128">
        <v>98</v>
      </c>
    </row>
    <row r="32" spans="1:14">
      <c r="A32" s="80" t="s">
        <v>8</v>
      </c>
      <c r="B32" s="80" t="s">
        <v>9</v>
      </c>
      <c r="C32" s="80" t="s">
        <v>69</v>
      </c>
      <c r="D32" s="80">
        <f>VLOOKUP(C32,$J$3:$N$78,2,FALSE)</f>
        <v>83</v>
      </c>
      <c r="E32" s="127">
        <f>VLOOKUP(C32,$J$3:$N$78,3,FALSE)</f>
        <v>-0.067</v>
      </c>
      <c r="F32" s="127">
        <f>VLOOKUP(C32,$J$3:$N$78,4,FALSE)</f>
        <v>0.0418</v>
      </c>
      <c r="G32" s="80">
        <f>VLOOKUP(C32,$J$3:$N$78,5,FALSE)</f>
        <v>25</v>
      </c>
      <c r="H32" s="80">
        <f t="shared" si="0"/>
        <v>3.32</v>
      </c>
      <c r="J32" s="128" t="s">
        <v>70</v>
      </c>
      <c r="K32" s="129">
        <v>188</v>
      </c>
      <c r="L32" s="130">
        <v>0.345</v>
      </c>
      <c r="M32" s="132">
        <v>0.0122</v>
      </c>
      <c r="N32" s="128">
        <v>35</v>
      </c>
    </row>
    <row r="33" spans="1:8">
      <c r="A33" s="82" t="s">
        <v>8</v>
      </c>
      <c r="B33" s="82" t="s">
        <v>12</v>
      </c>
      <c r="C33" s="82" t="s">
        <v>71</v>
      </c>
      <c r="D33" s="82">
        <f>VLOOKUP(C33,$J$3:$N$78,2,FALSE)</f>
        <v>82</v>
      </c>
      <c r="E33" s="126">
        <f>VLOOKUP(C33,$J$3:$N$78,3,FALSE)</f>
        <v>0.64</v>
      </c>
      <c r="F33" s="126">
        <f>VLOOKUP(C33,$J$3:$N$78,4,FALSE)</f>
        <v>0.0563</v>
      </c>
      <c r="G33" s="82">
        <f>VLOOKUP(C33,$J$3:$N$78,5,FALSE)</f>
        <v>76</v>
      </c>
      <c r="H33" s="82">
        <f t="shared" si="0"/>
        <v>1.07894736842105</v>
      </c>
    </row>
    <row r="34" spans="1:8">
      <c r="A34" s="80" t="s">
        <v>8</v>
      </c>
      <c r="B34" s="80" t="s">
        <v>12</v>
      </c>
      <c r="C34" s="80" t="s">
        <v>72</v>
      </c>
      <c r="D34" s="80">
        <f>VLOOKUP(C34,$J$3:$N$78,2,FALSE)</f>
        <v>79</v>
      </c>
      <c r="E34" s="127">
        <f>VLOOKUP(C34,$J$3:$N$78,3,FALSE)</f>
        <v>-0.049</v>
      </c>
      <c r="F34" s="127">
        <f>VLOOKUP(C34,$J$3:$N$78,4,FALSE)</f>
        <v>0.0318</v>
      </c>
      <c r="G34" s="80">
        <f>VLOOKUP(C34,$J$3:$N$78,5,FALSE)</f>
        <v>48</v>
      </c>
      <c r="H34" s="80">
        <f t="shared" si="0"/>
        <v>1.64583333333333</v>
      </c>
    </row>
    <row r="35" spans="1:14">
      <c r="A35" s="82" t="s">
        <v>8</v>
      </c>
      <c r="B35" s="82" t="s">
        <v>42</v>
      </c>
      <c r="C35" s="82" t="s">
        <v>73</v>
      </c>
      <c r="D35" s="82">
        <f>VLOOKUP(C35,$J$3:$N$78,2,FALSE)</f>
        <v>69</v>
      </c>
      <c r="E35" s="126">
        <f>VLOOKUP(C35,$J$3:$N$78,3,FALSE)</f>
        <v>0.108</v>
      </c>
      <c r="F35" s="126">
        <f>VLOOKUP(C35,$J$3:$N$78,4,FALSE)</f>
        <v>0.0698</v>
      </c>
      <c r="G35" s="82">
        <f>VLOOKUP(C35,$J$3:$N$78,5,FALSE)</f>
        <v>32</v>
      </c>
      <c r="H35" s="82">
        <f t="shared" si="0"/>
        <v>2.15625</v>
      </c>
      <c r="J35" s="128" t="s">
        <v>74</v>
      </c>
      <c r="K35" s="129">
        <v>907</v>
      </c>
      <c r="L35" s="130">
        <v>0.154</v>
      </c>
      <c r="M35" s="132">
        <v>0.0204</v>
      </c>
      <c r="N35" s="128">
        <v>84</v>
      </c>
    </row>
    <row r="36" spans="1:14">
      <c r="A36" s="80" t="s">
        <v>8</v>
      </c>
      <c r="B36" s="80" t="s">
        <v>42</v>
      </c>
      <c r="C36" s="80" t="s">
        <v>75</v>
      </c>
      <c r="D36" s="80">
        <f>VLOOKUP(C36,$J$3:$N$78,2,FALSE)</f>
        <v>69</v>
      </c>
      <c r="E36" s="127">
        <f>VLOOKUP(C36,$J$3:$N$78,3,FALSE)</f>
        <v>0.438</v>
      </c>
      <c r="F36" s="127">
        <f>VLOOKUP(C36,$J$3:$N$78,4,FALSE)</f>
        <v>0.0677</v>
      </c>
      <c r="G36" s="80">
        <f>VLOOKUP(C36,$J$3:$N$78,5,FALSE)</f>
        <v>25</v>
      </c>
      <c r="H36" s="80">
        <f t="shared" si="0"/>
        <v>2.76</v>
      </c>
      <c r="J36" s="128" t="s">
        <v>76</v>
      </c>
      <c r="K36" s="129">
        <v>48</v>
      </c>
      <c r="L36" s="130">
        <v>0.041</v>
      </c>
      <c r="M36" s="132">
        <v>0.0531</v>
      </c>
      <c r="N36" s="128">
        <v>45</v>
      </c>
    </row>
    <row r="37" spans="1:8">
      <c r="A37" s="82" t="s">
        <v>8</v>
      </c>
      <c r="B37" s="82" t="s">
        <v>12</v>
      </c>
      <c r="C37" s="82" t="s">
        <v>77</v>
      </c>
      <c r="D37" s="82">
        <f>VLOOKUP(C37,$J$3:$N$78,2,FALSE)</f>
        <v>60</v>
      </c>
      <c r="E37" s="126">
        <f>VLOOKUP(C37,$J$3:$N$78,3,FALSE)</f>
        <v>0.715</v>
      </c>
      <c r="F37" s="126">
        <f>VLOOKUP(C37,$J$3:$N$78,4,FALSE)</f>
        <v>0.035</v>
      </c>
      <c r="G37" s="82">
        <f>VLOOKUP(C37,$J$3:$N$78,5,FALSE)</f>
        <v>9</v>
      </c>
      <c r="H37" s="82">
        <f t="shared" si="0"/>
        <v>6.66666666666667</v>
      </c>
    </row>
    <row r="38" spans="1:14">
      <c r="A38" s="80" t="s">
        <v>8</v>
      </c>
      <c r="B38" s="80" t="s">
        <v>9</v>
      </c>
      <c r="C38" s="80" t="s">
        <v>78</v>
      </c>
      <c r="D38" s="80">
        <f>VLOOKUP(C38,$J$3:$N$78,2,FALSE)</f>
        <v>60</v>
      </c>
      <c r="E38" s="127">
        <f>VLOOKUP(C38,$J$3:$N$78,3,FALSE)</f>
        <v>0.161</v>
      </c>
      <c r="F38" s="127">
        <f>VLOOKUP(C38,$J$3:$N$78,4,FALSE)</f>
        <v>0.0095</v>
      </c>
      <c r="G38" s="80">
        <f>VLOOKUP(C38,$J$3:$N$78,5,FALSE)</f>
        <v>19</v>
      </c>
      <c r="H38" s="80">
        <f t="shared" si="0"/>
        <v>3.15789473684211</v>
      </c>
      <c r="J38" s="128" t="s">
        <v>79</v>
      </c>
      <c r="K38" s="129">
        <v>18</v>
      </c>
      <c r="L38" s="131">
        <v>-0.13</v>
      </c>
      <c r="M38" s="133">
        <v>0</v>
      </c>
      <c r="N38" s="128">
        <v>22</v>
      </c>
    </row>
    <row r="39" spans="1:14">
      <c r="A39" s="82" t="s">
        <v>8</v>
      </c>
      <c r="B39" s="82" t="s">
        <v>9</v>
      </c>
      <c r="C39" s="82" t="s">
        <v>80</v>
      </c>
      <c r="D39" s="82">
        <f>VLOOKUP(C39,$J$3:$N$78,2,FALSE)</f>
        <v>50</v>
      </c>
      <c r="E39" s="126">
        <f>VLOOKUP(C39,$J$3:$N$78,3,FALSE)</f>
        <v>-0.021</v>
      </c>
      <c r="F39" s="126">
        <f>VLOOKUP(C39,$J$3:$N$78,4,FALSE)</f>
        <v>0.0533</v>
      </c>
      <c r="G39" s="82">
        <f>VLOOKUP(C39,$J$3:$N$78,5,FALSE)</f>
        <v>7</v>
      </c>
      <c r="H39" s="82">
        <f t="shared" si="0"/>
        <v>7.14285714285714</v>
      </c>
      <c r="J39" s="128" t="s">
        <v>81</v>
      </c>
      <c r="K39" s="129">
        <v>2</v>
      </c>
      <c r="L39" s="130">
        <v>-0.334</v>
      </c>
      <c r="M39" s="133">
        <v>0</v>
      </c>
      <c r="N39" s="128">
        <v>2</v>
      </c>
    </row>
    <row r="40" spans="1:14">
      <c r="A40" s="80" t="s">
        <v>8</v>
      </c>
      <c r="B40" s="80" t="s">
        <v>9</v>
      </c>
      <c r="C40" s="80" t="s">
        <v>82</v>
      </c>
      <c r="D40" s="80">
        <f>VLOOKUP(C40,$J$3:$N$78,2,FALSE)</f>
        <v>48</v>
      </c>
      <c r="E40" s="127">
        <f>VLOOKUP(C40,$J$3:$N$78,3,FALSE)</f>
        <v>-0.018</v>
      </c>
      <c r="F40" s="127">
        <f>VLOOKUP(C40,$J$3:$N$78,4,FALSE)</f>
        <v>0.0783</v>
      </c>
      <c r="G40" s="80">
        <f>VLOOKUP(C40,$J$3:$N$78,5,FALSE)</f>
        <v>32</v>
      </c>
      <c r="H40" s="80">
        <f t="shared" si="0"/>
        <v>1.5</v>
      </c>
      <c r="J40" s="128" t="s">
        <v>83</v>
      </c>
      <c r="K40" s="129">
        <v>191</v>
      </c>
      <c r="L40" s="130">
        <v>-0.232</v>
      </c>
      <c r="M40" s="132">
        <v>0.0392</v>
      </c>
      <c r="N40" s="128">
        <v>0</v>
      </c>
    </row>
    <row r="41" spans="1:8">
      <c r="A41" s="82" t="s">
        <v>8</v>
      </c>
      <c r="B41" s="82" t="s">
        <v>12</v>
      </c>
      <c r="C41" s="82" t="s">
        <v>84</v>
      </c>
      <c r="D41" s="82">
        <f>VLOOKUP(C41,$J$3:$N$78,2,FALSE)</f>
        <v>45</v>
      </c>
      <c r="E41" s="126">
        <f>VLOOKUP(C41,$J$3:$N$78,3,FALSE)</f>
        <v>0.138</v>
      </c>
      <c r="F41" s="126">
        <f>VLOOKUP(C41,$J$3:$N$78,4,FALSE)</f>
        <v>0.0244</v>
      </c>
      <c r="G41" s="82">
        <f>VLOOKUP(C41,$J$3:$N$78,5,FALSE)</f>
        <v>42</v>
      </c>
      <c r="H41" s="82">
        <f t="shared" si="0"/>
        <v>1.07142857142857</v>
      </c>
    </row>
    <row r="42" spans="1:14">
      <c r="A42" s="80" t="s">
        <v>8</v>
      </c>
      <c r="B42" s="80" t="s">
        <v>42</v>
      </c>
      <c r="C42" s="80" t="s">
        <v>85</v>
      </c>
      <c r="D42" s="80">
        <f>VLOOKUP(C42,$J$3:$N$78,2,FALSE)</f>
        <v>42</v>
      </c>
      <c r="E42" s="127">
        <f>VLOOKUP(C42,$J$3:$N$78,3,FALSE)</f>
        <v>0.428</v>
      </c>
      <c r="F42" s="127">
        <f>VLOOKUP(C42,$J$3:$N$78,4,FALSE)</f>
        <v>0.0632</v>
      </c>
      <c r="G42" s="80">
        <f>VLOOKUP(C42,$J$3:$N$78,5,FALSE)</f>
        <v>37</v>
      </c>
      <c r="H42" s="80">
        <f t="shared" si="0"/>
        <v>1.13513513513514</v>
      </c>
      <c r="J42" s="128" t="s">
        <v>86</v>
      </c>
      <c r="K42" s="129">
        <v>29</v>
      </c>
      <c r="L42" s="130">
        <v>0.163</v>
      </c>
      <c r="M42" s="132">
        <v>0.0935</v>
      </c>
      <c r="N42" s="128">
        <v>18</v>
      </c>
    </row>
    <row r="43" spans="1:14">
      <c r="A43" s="82" t="s">
        <v>8</v>
      </c>
      <c r="B43" s="82" t="s">
        <v>19</v>
      </c>
      <c r="C43" s="82" t="s">
        <v>87</v>
      </c>
      <c r="D43" s="82">
        <f>VLOOKUP(C43,$J$3:$N$78,2,FALSE)</f>
        <v>38</v>
      </c>
      <c r="E43" s="126">
        <f>VLOOKUP(C43,$J$3:$N$78,3,FALSE)</f>
        <v>-0.21</v>
      </c>
      <c r="F43" s="126">
        <f>VLOOKUP(C43,$J$3:$N$78,4,FALSE)</f>
        <v>0.0988</v>
      </c>
      <c r="G43" s="82">
        <f>VLOOKUP(C43,$J$3:$N$78,5,FALSE)</f>
        <v>5</v>
      </c>
      <c r="H43" s="82">
        <f t="shared" si="0"/>
        <v>7.6</v>
      </c>
      <c r="J43" s="128" t="s">
        <v>88</v>
      </c>
      <c r="K43" s="129">
        <v>82</v>
      </c>
      <c r="L43" s="131">
        <v>0.64</v>
      </c>
      <c r="M43" s="132">
        <v>0.0563</v>
      </c>
      <c r="N43" s="128">
        <v>76</v>
      </c>
    </row>
    <row r="44" hidden="1" spans="1:14">
      <c r="A44" s="82" t="s">
        <v>8</v>
      </c>
      <c r="B44" s="82" t="s">
        <v>9</v>
      </c>
      <c r="C44" s="82" t="s">
        <v>89</v>
      </c>
      <c r="D44" s="82" t="e">
        <f>VLOOKUP(C44,$J$3:$N$78,2,FALSE)</f>
        <v>#N/A</v>
      </c>
      <c r="E44" s="126" t="e">
        <f>VLOOKUP(C44,$J$3:$N$78,3,FALSE)</f>
        <v>#N/A</v>
      </c>
      <c r="F44" s="126" t="e">
        <f>VLOOKUP(C44,$J$3:$N$78,4,FALSE)</f>
        <v>#N/A</v>
      </c>
      <c r="G44" s="82" t="e">
        <f>VLOOKUP(C44,$J$3:$N$78,5,FALSE)</f>
        <v>#N/A</v>
      </c>
      <c r="H44" s="82" t="e">
        <f t="shared" si="0"/>
        <v>#N/A</v>
      </c>
      <c r="J44" s="129" t="s">
        <v>90</v>
      </c>
      <c r="K44" s="129" t="s">
        <v>91</v>
      </c>
      <c r="L44" s="129" t="s">
        <v>4</v>
      </c>
      <c r="M44" s="129" t="s">
        <v>5</v>
      </c>
      <c r="N44" s="129" t="s">
        <v>92</v>
      </c>
    </row>
    <row r="45" hidden="1" spans="1:14">
      <c r="A45" s="82" t="s">
        <v>8</v>
      </c>
      <c r="B45" s="82" t="s">
        <v>9</v>
      </c>
      <c r="C45" s="82" t="s">
        <v>93</v>
      </c>
      <c r="D45" s="82" t="e">
        <f>VLOOKUP(C45,$J$3:$N$78,2,FALSE)</f>
        <v>#N/A</v>
      </c>
      <c r="E45" s="126" t="e">
        <f>VLOOKUP(C45,$J$3:$N$78,3,FALSE)</f>
        <v>#N/A</v>
      </c>
      <c r="F45" s="126" t="e">
        <f>VLOOKUP(C45,$J$3:$N$78,4,FALSE)</f>
        <v>#N/A</v>
      </c>
      <c r="G45" s="82" t="e">
        <f>VLOOKUP(C45,$J$3:$N$78,5,FALSE)</f>
        <v>#N/A</v>
      </c>
      <c r="H45" s="82" t="e">
        <f t="shared" si="0"/>
        <v>#N/A</v>
      </c>
      <c r="J45" s="128" t="s">
        <v>94</v>
      </c>
      <c r="K45" s="129">
        <v>84</v>
      </c>
      <c r="L45" s="130">
        <v>0.203</v>
      </c>
      <c r="M45" s="132">
        <v>0.1165</v>
      </c>
      <c r="N45" s="128">
        <v>25</v>
      </c>
    </row>
    <row r="46" hidden="1" spans="1:14">
      <c r="A46" s="82" t="s">
        <v>8</v>
      </c>
      <c r="B46" s="82" t="s">
        <v>9</v>
      </c>
      <c r="C46" s="82" t="s">
        <v>95</v>
      </c>
      <c r="D46" s="82" t="e">
        <f>VLOOKUP(C46,$J$3:$N$78,2,FALSE)</f>
        <v>#N/A</v>
      </c>
      <c r="E46" s="126" t="e">
        <f>VLOOKUP(C46,$J$3:$N$78,3,FALSE)</f>
        <v>#N/A</v>
      </c>
      <c r="F46" s="126" t="e">
        <f>VLOOKUP(C46,$J$3:$N$78,4,FALSE)</f>
        <v>#N/A</v>
      </c>
      <c r="G46" s="82" t="e">
        <f>VLOOKUP(C46,$J$3:$N$78,5,FALSE)</f>
        <v>#N/A</v>
      </c>
      <c r="H46" s="82" t="e">
        <f t="shared" si="0"/>
        <v>#N/A</v>
      </c>
      <c r="J46" s="128" t="s">
        <v>96</v>
      </c>
      <c r="K46" s="129">
        <v>149</v>
      </c>
      <c r="L46" s="131">
        <v>1.5</v>
      </c>
      <c r="M46" s="133">
        <v>0</v>
      </c>
      <c r="N46" s="128">
        <v>6</v>
      </c>
    </row>
    <row r="47" hidden="1" spans="1:14">
      <c r="A47" s="82" t="s">
        <v>8</v>
      </c>
      <c r="B47" s="82" t="s">
        <v>9</v>
      </c>
      <c r="C47" s="82" t="s">
        <v>97</v>
      </c>
      <c r="D47" s="82" t="e">
        <f>VLOOKUP(C47,$J$3:$N$78,2,FALSE)</f>
        <v>#N/A</v>
      </c>
      <c r="E47" s="126" t="e">
        <f>VLOOKUP(C47,$J$3:$N$78,3,FALSE)</f>
        <v>#N/A</v>
      </c>
      <c r="F47" s="126" t="e">
        <f>VLOOKUP(C47,$J$3:$N$78,4,FALSE)</f>
        <v>#N/A</v>
      </c>
      <c r="G47" s="82" t="e">
        <f>VLOOKUP(C47,$J$3:$N$78,5,FALSE)</f>
        <v>#N/A</v>
      </c>
      <c r="H47" s="82" t="e">
        <f t="shared" si="0"/>
        <v>#N/A</v>
      </c>
      <c r="J47" s="128" t="s">
        <v>98</v>
      </c>
      <c r="K47" s="129">
        <v>1565</v>
      </c>
      <c r="L47" s="131">
        <v>0.27</v>
      </c>
      <c r="M47" s="132">
        <v>0.0175</v>
      </c>
      <c r="N47" s="128">
        <v>99</v>
      </c>
    </row>
    <row r="48" hidden="1" spans="1:14">
      <c r="A48" s="82" t="s">
        <v>8</v>
      </c>
      <c r="B48" s="82" t="s">
        <v>9</v>
      </c>
      <c r="C48" s="82" t="s">
        <v>99</v>
      </c>
      <c r="D48" s="82" t="e">
        <f>VLOOKUP(C48,$J$3:$N$78,2,FALSE)</f>
        <v>#N/A</v>
      </c>
      <c r="E48" s="126" t="e">
        <f>VLOOKUP(C48,$J$3:$N$78,3,FALSE)</f>
        <v>#N/A</v>
      </c>
      <c r="F48" s="126" t="e">
        <f>VLOOKUP(C48,$J$3:$N$78,4,FALSE)</f>
        <v>#N/A</v>
      </c>
      <c r="G48" s="82" t="e">
        <f>VLOOKUP(C48,$J$3:$N$78,5,FALSE)</f>
        <v>#N/A</v>
      </c>
      <c r="H48" s="82" t="e">
        <f t="shared" si="0"/>
        <v>#N/A</v>
      </c>
      <c r="J48" s="128" t="s">
        <v>100</v>
      </c>
      <c r="K48" s="129">
        <v>128</v>
      </c>
      <c r="L48" s="130">
        <v>-0.292</v>
      </c>
      <c r="M48" s="132">
        <v>0.0213</v>
      </c>
      <c r="N48" s="128">
        <v>30</v>
      </c>
    </row>
    <row r="49" hidden="1" spans="1:14">
      <c r="A49" s="82" t="s">
        <v>8</v>
      </c>
      <c r="B49" s="82" t="s">
        <v>9</v>
      </c>
      <c r="C49" s="82" t="s">
        <v>101</v>
      </c>
      <c r="D49" s="82" t="e">
        <f>VLOOKUP(C49,$J$3:$N$78,2,FALSE)</f>
        <v>#N/A</v>
      </c>
      <c r="E49" s="126" t="e">
        <f>VLOOKUP(C49,$J$3:$N$78,3,FALSE)</f>
        <v>#N/A</v>
      </c>
      <c r="F49" s="126" t="e">
        <f>VLOOKUP(C49,$J$3:$N$78,4,FALSE)</f>
        <v>#N/A</v>
      </c>
      <c r="G49" s="82" t="e">
        <f>VLOOKUP(C49,$J$3:$N$78,5,FALSE)</f>
        <v>#N/A</v>
      </c>
      <c r="H49" s="82" t="e">
        <f t="shared" si="0"/>
        <v>#N/A</v>
      </c>
      <c r="J49" s="128" t="s">
        <v>102</v>
      </c>
      <c r="K49" s="129">
        <v>2336</v>
      </c>
      <c r="L49" s="131">
        <v>-0.02</v>
      </c>
      <c r="M49" s="132">
        <v>0.0682</v>
      </c>
      <c r="N49" s="128">
        <v>100</v>
      </c>
    </row>
    <row r="50" hidden="1" spans="1:14">
      <c r="A50" s="82" t="s">
        <v>8</v>
      </c>
      <c r="B50" s="82" t="s">
        <v>9</v>
      </c>
      <c r="C50" s="82" t="s">
        <v>103</v>
      </c>
      <c r="D50" s="82" t="e">
        <f>VLOOKUP(C50,$J$3:$N$78,2,FALSE)</f>
        <v>#N/A</v>
      </c>
      <c r="E50" s="126" t="e">
        <f>VLOOKUP(C50,$J$3:$N$78,3,FALSE)</f>
        <v>#N/A</v>
      </c>
      <c r="F50" s="126" t="e">
        <f>VLOOKUP(C50,$J$3:$N$78,4,FALSE)</f>
        <v>#N/A</v>
      </c>
      <c r="G50" s="82" t="e">
        <f>VLOOKUP(C50,$J$3:$N$78,5,FALSE)</f>
        <v>#N/A</v>
      </c>
      <c r="H50" s="82" t="e">
        <f t="shared" si="0"/>
        <v>#N/A</v>
      </c>
      <c r="J50" s="128" t="s">
        <v>104</v>
      </c>
      <c r="K50" s="129">
        <v>427</v>
      </c>
      <c r="L50" s="130">
        <v>1.056</v>
      </c>
      <c r="M50" s="132">
        <v>0.0457</v>
      </c>
      <c r="N50" s="128">
        <v>54</v>
      </c>
    </row>
    <row r="51" hidden="1" spans="1:14">
      <c r="A51" s="82" t="s">
        <v>8</v>
      </c>
      <c r="B51" s="82" t="s">
        <v>9</v>
      </c>
      <c r="C51" s="82" t="s">
        <v>105</v>
      </c>
      <c r="D51" s="82" t="e">
        <f>VLOOKUP(C51,$J$3:$N$78,2,FALSE)</f>
        <v>#N/A</v>
      </c>
      <c r="E51" s="126" t="e">
        <f>VLOOKUP(C51,$J$3:$N$78,3,FALSE)</f>
        <v>#N/A</v>
      </c>
      <c r="F51" s="126" t="e">
        <f>VLOOKUP(C51,$J$3:$N$78,4,FALSE)</f>
        <v>#N/A</v>
      </c>
      <c r="G51" s="82" t="e">
        <f>VLOOKUP(C51,$J$3:$N$78,5,FALSE)</f>
        <v>#N/A</v>
      </c>
      <c r="H51" s="82" t="e">
        <f t="shared" si="0"/>
        <v>#N/A</v>
      </c>
      <c r="J51" s="128" t="s">
        <v>58</v>
      </c>
      <c r="K51" s="129">
        <v>285</v>
      </c>
      <c r="L51" s="130">
        <v>0.125</v>
      </c>
      <c r="M51" s="132">
        <v>0.0147</v>
      </c>
      <c r="N51" s="128">
        <v>20</v>
      </c>
    </row>
    <row r="52" hidden="1" spans="1:14">
      <c r="A52" s="82" t="s">
        <v>8</v>
      </c>
      <c r="B52" s="82" t="s">
        <v>9</v>
      </c>
      <c r="C52" s="82" t="s">
        <v>106</v>
      </c>
      <c r="D52" s="82" t="e">
        <f>VLOOKUP(C52,$J$3:$N$78,2,FALSE)</f>
        <v>#N/A</v>
      </c>
      <c r="E52" s="126" t="e">
        <f>VLOOKUP(C52,$J$3:$N$78,3,FALSE)</f>
        <v>#N/A</v>
      </c>
      <c r="F52" s="126" t="e">
        <f>VLOOKUP(C52,$J$3:$N$78,4,FALSE)</f>
        <v>#N/A</v>
      </c>
      <c r="G52" s="82" t="e">
        <f>VLOOKUP(C52,$J$3:$N$78,5,FALSE)</f>
        <v>#N/A</v>
      </c>
      <c r="H52" s="82" t="e">
        <f t="shared" si="0"/>
        <v>#N/A</v>
      </c>
      <c r="J52" s="128" t="s">
        <v>107</v>
      </c>
      <c r="K52" s="129">
        <v>158</v>
      </c>
      <c r="L52" s="130">
        <v>0.112</v>
      </c>
      <c r="M52" s="132">
        <v>0.088</v>
      </c>
      <c r="N52" s="128">
        <v>78</v>
      </c>
    </row>
    <row r="53" hidden="1" spans="1:14">
      <c r="A53" s="82" t="s">
        <v>8</v>
      </c>
      <c r="B53" s="82" t="s">
        <v>9</v>
      </c>
      <c r="C53" s="82" t="s">
        <v>108</v>
      </c>
      <c r="D53" s="82" t="e">
        <f>VLOOKUP(C53,$J$3:$N$78,2,FALSE)</f>
        <v>#N/A</v>
      </c>
      <c r="E53" s="126" t="e">
        <f>VLOOKUP(C53,$J$3:$N$78,3,FALSE)</f>
        <v>#N/A</v>
      </c>
      <c r="F53" s="126" t="e">
        <f>VLOOKUP(C53,$J$3:$N$78,4,FALSE)</f>
        <v>#N/A</v>
      </c>
      <c r="G53" s="82" t="e">
        <f>VLOOKUP(C53,$J$3:$N$78,5,FALSE)</f>
        <v>#N/A</v>
      </c>
      <c r="H53" s="82" t="e">
        <f t="shared" si="0"/>
        <v>#N/A</v>
      </c>
      <c r="J53" s="128" t="s">
        <v>109</v>
      </c>
      <c r="K53" s="129">
        <v>472</v>
      </c>
      <c r="L53" s="130">
        <v>0.039</v>
      </c>
      <c r="M53" s="133">
        <v>0.02</v>
      </c>
      <c r="N53" s="128">
        <v>35</v>
      </c>
    </row>
    <row r="54" hidden="1" spans="1:14">
      <c r="A54" s="82" t="s">
        <v>8</v>
      </c>
      <c r="B54" s="82" t="s">
        <v>9</v>
      </c>
      <c r="C54" s="82" t="s">
        <v>110</v>
      </c>
      <c r="D54" s="82" t="e">
        <f>VLOOKUP(C54,$J$3:$N$78,2,FALSE)</f>
        <v>#N/A</v>
      </c>
      <c r="E54" s="126" t="e">
        <f>VLOOKUP(C54,$J$3:$N$78,3,FALSE)</f>
        <v>#N/A</v>
      </c>
      <c r="F54" s="126" t="e">
        <f>VLOOKUP(C54,$J$3:$N$78,4,FALSE)</f>
        <v>#N/A</v>
      </c>
      <c r="G54" s="82" t="e">
        <f>VLOOKUP(C54,$J$3:$N$78,5,FALSE)</f>
        <v>#N/A</v>
      </c>
      <c r="H54" s="82" t="e">
        <f t="shared" si="0"/>
        <v>#N/A</v>
      </c>
      <c r="J54" s="128" t="s">
        <v>111</v>
      </c>
      <c r="K54" s="129">
        <v>694</v>
      </c>
      <c r="L54" s="130">
        <v>1.429</v>
      </c>
      <c r="M54" s="132">
        <v>0.0116</v>
      </c>
      <c r="N54" s="128">
        <v>51</v>
      </c>
    </row>
    <row r="55" hidden="1" spans="1:14">
      <c r="A55" s="82" t="s">
        <v>8</v>
      </c>
      <c r="B55" s="82" t="s">
        <v>9</v>
      </c>
      <c r="C55" s="82" t="s">
        <v>112</v>
      </c>
      <c r="D55" s="82" t="e">
        <f>VLOOKUP(C55,$J$3:$N$78,2,FALSE)</f>
        <v>#N/A</v>
      </c>
      <c r="E55" s="126" t="e">
        <f>VLOOKUP(C55,$J$3:$N$78,3,FALSE)</f>
        <v>#N/A</v>
      </c>
      <c r="F55" s="126" t="e">
        <f>VLOOKUP(C55,$J$3:$N$78,4,FALSE)</f>
        <v>#N/A</v>
      </c>
      <c r="G55" s="82" t="e">
        <f>VLOOKUP(C55,$J$3:$N$78,5,FALSE)</f>
        <v>#N/A</v>
      </c>
      <c r="H55" s="82" t="e">
        <f t="shared" si="0"/>
        <v>#N/A</v>
      </c>
      <c r="J55" s="128" t="s">
        <v>113</v>
      </c>
      <c r="K55" s="129">
        <v>298</v>
      </c>
      <c r="L55" s="130">
        <v>0.166</v>
      </c>
      <c r="M55" s="132">
        <v>0.0341</v>
      </c>
      <c r="N55" s="128">
        <v>77</v>
      </c>
    </row>
    <row r="56" hidden="1" spans="1:14">
      <c r="A56" s="82" t="s">
        <v>8</v>
      </c>
      <c r="B56" s="82" t="s">
        <v>9</v>
      </c>
      <c r="C56" s="82" t="s">
        <v>114</v>
      </c>
      <c r="D56" s="82" t="e">
        <f>VLOOKUP(C56,$J$3:$N$78,2,FALSE)</f>
        <v>#N/A</v>
      </c>
      <c r="E56" s="126" t="e">
        <f>VLOOKUP(C56,$J$3:$N$78,3,FALSE)</f>
        <v>#N/A</v>
      </c>
      <c r="F56" s="126" t="e">
        <f>VLOOKUP(C56,$J$3:$N$78,4,FALSE)</f>
        <v>#N/A</v>
      </c>
      <c r="G56" s="82" t="e">
        <f>VLOOKUP(C56,$J$3:$N$78,5,FALSE)</f>
        <v>#N/A</v>
      </c>
      <c r="H56" s="82" t="e">
        <f t="shared" si="0"/>
        <v>#N/A</v>
      </c>
      <c r="J56" s="128" t="s">
        <v>115</v>
      </c>
      <c r="K56" s="129">
        <v>409</v>
      </c>
      <c r="L56" s="130">
        <v>0.514</v>
      </c>
      <c r="M56" s="132">
        <v>0.0372</v>
      </c>
      <c r="N56" s="128">
        <v>107</v>
      </c>
    </row>
    <row r="57" hidden="1" spans="1:14">
      <c r="A57" s="82" t="s">
        <v>8</v>
      </c>
      <c r="B57" s="82" t="s">
        <v>9</v>
      </c>
      <c r="C57" s="82" t="s">
        <v>116</v>
      </c>
      <c r="D57" s="82" t="e">
        <f>VLOOKUP(C57,$J$3:$N$78,2,FALSE)</f>
        <v>#N/A</v>
      </c>
      <c r="E57" s="126" t="e">
        <f>VLOOKUP(C57,$J$3:$N$78,3,FALSE)</f>
        <v>#N/A</v>
      </c>
      <c r="F57" s="126" t="e">
        <f>VLOOKUP(C57,$J$3:$N$78,4,FALSE)</f>
        <v>#N/A</v>
      </c>
      <c r="G57" s="82" t="e">
        <f>VLOOKUP(C57,$J$3:$N$78,5,FALSE)</f>
        <v>#N/A</v>
      </c>
      <c r="H57" s="82" t="e">
        <f t="shared" si="0"/>
        <v>#N/A</v>
      </c>
      <c r="J57" s="128" t="s">
        <v>117</v>
      </c>
      <c r="K57" s="129">
        <v>84</v>
      </c>
      <c r="L57" s="130">
        <v>0.558</v>
      </c>
      <c r="M57" s="132">
        <v>0.0217</v>
      </c>
      <c r="N57" s="128">
        <v>10</v>
      </c>
    </row>
    <row r="58" hidden="1" spans="1:14">
      <c r="A58" s="82" t="s">
        <v>8</v>
      </c>
      <c r="B58" s="82" t="s">
        <v>9</v>
      </c>
      <c r="C58" s="82" t="s">
        <v>118</v>
      </c>
      <c r="D58" s="82" t="e">
        <f>VLOOKUP(C58,$J$3:$N$78,2,FALSE)</f>
        <v>#N/A</v>
      </c>
      <c r="E58" s="126" t="e">
        <f>VLOOKUP(C58,$J$3:$N$78,3,FALSE)</f>
        <v>#N/A</v>
      </c>
      <c r="F58" s="126" t="e">
        <f>VLOOKUP(C58,$J$3:$N$78,4,FALSE)</f>
        <v>#N/A</v>
      </c>
      <c r="G58" s="82" t="e">
        <f>VLOOKUP(C58,$J$3:$N$78,5,FALSE)</f>
        <v>#N/A</v>
      </c>
      <c r="H58" s="82" t="e">
        <f t="shared" si="0"/>
        <v>#N/A</v>
      </c>
      <c r="J58" s="128" t="s">
        <v>119</v>
      </c>
      <c r="K58" s="129">
        <v>69</v>
      </c>
      <c r="L58" s="130">
        <v>0.108</v>
      </c>
      <c r="M58" s="132">
        <v>0.0698</v>
      </c>
      <c r="N58" s="128">
        <v>32</v>
      </c>
    </row>
    <row r="59" hidden="1" spans="1:14">
      <c r="A59" s="82" t="s">
        <v>8</v>
      </c>
      <c r="B59" s="82" t="s">
        <v>9</v>
      </c>
      <c r="C59" s="82" t="s">
        <v>120</v>
      </c>
      <c r="D59" s="82" t="e">
        <f>VLOOKUP(C59,$J$3:$N$78,2,FALSE)</f>
        <v>#N/A</v>
      </c>
      <c r="E59" s="126" t="e">
        <f>VLOOKUP(C59,$J$3:$N$78,3,FALSE)</f>
        <v>#N/A</v>
      </c>
      <c r="F59" s="126" t="e">
        <f>VLOOKUP(C59,$J$3:$N$78,4,FALSE)</f>
        <v>#N/A</v>
      </c>
      <c r="G59" s="82" t="e">
        <f>VLOOKUP(C59,$J$3:$N$78,5,FALSE)</f>
        <v>#N/A</v>
      </c>
      <c r="H59" s="82" t="e">
        <f t="shared" si="0"/>
        <v>#N/A</v>
      </c>
      <c r="J59" s="128" t="s">
        <v>121</v>
      </c>
      <c r="K59" s="129">
        <v>153</v>
      </c>
      <c r="L59" s="130">
        <v>0.284</v>
      </c>
      <c r="M59" s="132">
        <v>0.0313</v>
      </c>
      <c r="N59" s="128">
        <v>67</v>
      </c>
    </row>
    <row r="60" hidden="1" spans="1:14">
      <c r="A60" s="82" t="s">
        <v>8</v>
      </c>
      <c r="B60" s="82" t="s">
        <v>9</v>
      </c>
      <c r="C60" s="82" t="s">
        <v>122</v>
      </c>
      <c r="D60" s="82" t="e">
        <f>VLOOKUP(C60,$J$3:$N$78,2,FALSE)</f>
        <v>#N/A</v>
      </c>
      <c r="E60" s="126" t="e">
        <f>VLOOKUP(C60,$J$3:$N$78,3,FALSE)</f>
        <v>#N/A</v>
      </c>
      <c r="F60" s="126" t="e">
        <f>VLOOKUP(C60,$J$3:$N$78,4,FALSE)</f>
        <v>#N/A</v>
      </c>
      <c r="G60" s="82" t="e">
        <f>VLOOKUP(C60,$J$3:$N$78,5,FALSE)</f>
        <v>#N/A</v>
      </c>
      <c r="H60" s="82" t="e">
        <f t="shared" si="0"/>
        <v>#N/A</v>
      </c>
      <c r="J60" s="128" t="s">
        <v>123</v>
      </c>
      <c r="K60" s="129">
        <v>69</v>
      </c>
      <c r="L60" s="130">
        <v>0.438</v>
      </c>
      <c r="M60" s="132">
        <v>0.0677</v>
      </c>
      <c r="N60" s="128">
        <v>25</v>
      </c>
    </row>
    <row r="61" hidden="1" spans="1:14">
      <c r="A61" s="82" t="s">
        <v>8</v>
      </c>
      <c r="B61" s="82" t="s">
        <v>9</v>
      </c>
      <c r="C61" s="82" t="s">
        <v>124</v>
      </c>
      <c r="D61" s="82" t="e">
        <f>VLOOKUP(C61,$J$3:$N$78,2,FALSE)</f>
        <v>#N/A</v>
      </c>
      <c r="E61" s="126" t="e">
        <f>VLOOKUP(C61,$J$3:$N$78,3,FALSE)</f>
        <v>#N/A</v>
      </c>
      <c r="F61" s="126" t="e">
        <f>VLOOKUP(C61,$J$3:$N$78,4,FALSE)</f>
        <v>#N/A</v>
      </c>
      <c r="G61" s="82" t="e">
        <f>VLOOKUP(C61,$J$3:$N$78,5,FALSE)</f>
        <v>#N/A</v>
      </c>
      <c r="H61" s="82" t="e">
        <f t="shared" si="0"/>
        <v>#N/A</v>
      </c>
      <c r="J61" s="128" t="s">
        <v>125</v>
      </c>
      <c r="K61" s="129">
        <v>276</v>
      </c>
      <c r="L61" s="131">
        <v>0.14</v>
      </c>
      <c r="M61" s="132">
        <v>0.0403</v>
      </c>
      <c r="N61" s="128">
        <v>44</v>
      </c>
    </row>
    <row r="62" hidden="1" spans="1:14">
      <c r="A62" s="82" t="s">
        <v>8</v>
      </c>
      <c r="B62" s="82" t="s">
        <v>9</v>
      </c>
      <c r="C62" s="82" t="s">
        <v>126</v>
      </c>
      <c r="D62" s="82" t="e">
        <f>VLOOKUP(C62,$J$3:$N$78,2,FALSE)</f>
        <v>#N/A</v>
      </c>
      <c r="E62" s="126" t="e">
        <f>VLOOKUP(C62,$J$3:$N$78,3,FALSE)</f>
        <v>#N/A</v>
      </c>
      <c r="F62" s="126" t="e">
        <f>VLOOKUP(C62,$J$3:$N$78,4,FALSE)</f>
        <v>#N/A</v>
      </c>
      <c r="G62" s="82" t="e">
        <f>VLOOKUP(C62,$J$3:$N$78,5,FALSE)</f>
        <v>#N/A</v>
      </c>
      <c r="H62" s="82" t="e">
        <f t="shared" si="0"/>
        <v>#N/A</v>
      </c>
      <c r="J62" s="128" t="s">
        <v>127</v>
      </c>
      <c r="K62" s="129">
        <v>107</v>
      </c>
      <c r="L62" s="130">
        <v>0.397</v>
      </c>
      <c r="M62" s="132">
        <v>0.0485</v>
      </c>
      <c r="N62" s="128">
        <v>91</v>
      </c>
    </row>
    <row r="63" hidden="1" spans="1:14">
      <c r="A63" s="82" t="s">
        <v>8</v>
      </c>
      <c r="B63" s="82" t="s">
        <v>42</v>
      </c>
      <c r="C63" s="82" t="s">
        <v>128</v>
      </c>
      <c r="D63" s="82" t="e">
        <f>VLOOKUP(C63,$J$3:$N$78,2,FALSE)</f>
        <v>#N/A</v>
      </c>
      <c r="E63" s="126" t="e">
        <f>VLOOKUP(C63,$J$3:$N$78,3,FALSE)</f>
        <v>#N/A</v>
      </c>
      <c r="F63" s="126" t="e">
        <f>VLOOKUP(C63,$J$3:$N$78,4,FALSE)</f>
        <v>#N/A</v>
      </c>
      <c r="G63" s="82" t="e">
        <f>VLOOKUP(C63,$J$3:$N$78,5,FALSE)</f>
        <v>#N/A</v>
      </c>
      <c r="H63" s="82" t="e">
        <f t="shared" si="0"/>
        <v>#N/A</v>
      </c>
      <c r="J63" s="128" t="s">
        <v>129</v>
      </c>
      <c r="K63" s="129">
        <v>356</v>
      </c>
      <c r="L63" s="130">
        <v>0.166</v>
      </c>
      <c r="M63" s="132">
        <v>0.0184</v>
      </c>
      <c r="N63" s="128">
        <v>52</v>
      </c>
    </row>
    <row r="64" hidden="1" spans="1:14">
      <c r="A64" s="82" t="s">
        <v>8</v>
      </c>
      <c r="B64" s="82" t="s">
        <v>42</v>
      </c>
      <c r="C64" s="82" t="s">
        <v>130</v>
      </c>
      <c r="D64" s="82" t="e">
        <f>VLOOKUP(C64,$J$3:$N$78,2,FALSE)</f>
        <v>#N/A</v>
      </c>
      <c r="E64" s="126" t="e">
        <f>VLOOKUP(C64,$J$3:$N$78,3,FALSE)</f>
        <v>#N/A</v>
      </c>
      <c r="F64" s="126" t="e">
        <f>VLOOKUP(C64,$J$3:$N$78,4,FALSE)</f>
        <v>#N/A</v>
      </c>
      <c r="G64" s="82" t="e">
        <f>VLOOKUP(C64,$J$3:$N$78,5,FALSE)</f>
        <v>#N/A</v>
      </c>
      <c r="H64" s="82" t="e">
        <f t="shared" si="0"/>
        <v>#N/A</v>
      </c>
      <c r="J64" s="128" t="s">
        <v>131</v>
      </c>
      <c r="K64" s="129">
        <v>30</v>
      </c>
      <c r="L64" s="131">
        <v>4.75</v>
      </c>
      <c r="M64" s="132">
        <v>0.0174</v>
      </c>
      <c r="N64" s="128">
        <v>26</v>
      </c>
    </row>
    <row r="65" hidden="1" spans="1:14">
      <c r="A65" s="82" t="s">
        <v>8</v>
      </c>
      <c r="B65" s="82" t="s">
        <v>42</v>
      </c>
      <c r="C65" s="82" t="s">
        <v>132</v>
      </c>
      <c r="D65" s="82" t="e">
        <f>VLOOKUP(C65,$J$3:$N$78,2,FALSE)</f>
        <v>#N/A</v>
      </c>
      <c r="E65" s="126" t="e">
        <f>VLOOKUP(C65,$J$3:$N$78,3,FALSE)</f>
        <v>#N/A</v>
      </c>
      <c r="F65" s="126" t="e">
        <f>VLOOKUP(C65,$J$3:$N$78,4,FALSE)</f>
        <v>#N/A</v>
      </c>
      <c r="G65" s="82" t="e">
        <f>VLOOKUP(C65,$J$3:$N$78,5,FALSE)</f>
        <v>#N/A</v>
      </c>
      <c r="H65" s="82" t="e">
        <f t="shared" si="0"/>
        <v>#N/A</v>
      </c>
      <c r="J65" s="128" t="s">
        <v>133</v>
      </c>
      <c r="K65" s="129">
        <v>835</v>
      </c>
      <c r="L65" s="130">
        <v>-0.094</v>
      </c>
      <c r="M65" s="132">
        <v>0.1418</v>
      </c>
      <c r="N65" s="128">
        <v>82</v>
      </c>
    </row>
    <row r="66" hidden="1" spans="1:14">
      <c r="A66" s="82" t="s">
        <v>8</v>
      </c>
      <c r="B66" s="82" t="s">
        <v>19</v>
      </c>
      <c r="C66" s="82" t="s">
        <v>134</v>
      </c>
      <c r="D66" s="82" t="e">
        <f>VLOOKUP(C66,$J$3:$N$78,2,FALSE)</f>
        <v>#N/A</v>
      </c>
      <c r="E66" s="126" t="e">
        <f>VLOOKUP(C66,$J$3:$N$78,3,FALSE)</f>
        <v>#N/A</v>
      </c>
      <c r="F66" s="126" t="e">
        <f>VLOOKUP(C66,$J$3:$N$78,4,FALSE)</f>
        <v>#N/A</v>
      </c>
      <c r="G66" s="82" t="e">
        <f>VLOOKUP(C66,$J$3:$N$78,5,FALSE)</f>
        <v>#N/A</v>
      </c>
      <c r="H66" s="82" t="e">
        <f t="shared" si="0"/>
        <v>#N/A</v>
      </c>
      <c r="J66" s="128" t="s">
        <v>135</v>
      </c>
      <c r="K66" s="129">
        <v>522</v>
      </c>
      <c r="L66" s="130">
        <v>0.148</v>
      </c>
      <c r="M66" s="132">
        <v>0.0482</v>
      </c>
      <c r="N66" s="128">
        <v>130</v>
      </c>
    </row>
    <row r="67" hidden="1" spans="1:14">
      <c r="A67" s="82" t="s">
        <v>8</v>
      </c>
      <c r="B67" s="82" t="s">
        <v>19</v>
      </c>
      <c r="C67" s="82" t="s">
        <v>136</v>
      </c>
      <c r="D67" s="82" t="e">
        <f>VLOOKUP(C67,$J$3:$N$78,2,FALSE)</f>
        <v>#N/A</v>
      </c>
      <c r="E67" s="126" t="e">
        <f>VLOOKUP(C67,$J$3:$N$78,3,FALSE)</f>
        <v>#N/A</v>
      </c>
      <c r="F67" s="126" t="e">
        <f>VLOOKUP(C67,$J$3:$N$78,4,FALSE)</f>
        <v>#N/A</v>
      </c>
      <c r="G67" s="82" t="e">
        <f>VLOOKUP(C67,$J$3:$N$78,5,FALSE)</f>
        <v>#N/A</v>
      </c>
      <c r="H67" s="82" t="e">
        <f t="shared" ref="H67:H130" si="1">D67/G67</f>
        <v>#N/A</v>
      </c>
      <c r="J67" s="128" t="s">
        <v>137</v>
      </c>
      <c r="K67" s="129">
        <v>183</v>
      </c>
      <c r="L67" s="130">
        <v>0.088</v>
      </c>
      <c r="M67" s="132">
        <v>0.0457</v>
      </c>
      <c r="N67" s="128">
        <v>93</v>
      </c>
    </row>
    <row r="68" hidden="1" spans="1:14">
      <c r="A68" s="82" t="s">
        <v>8</v>
      </c>
      <c r="B68" s="82" t="s">
        <v>19</v>
      </c>
      <c r="C68" s="82" t="s">
        <v>138</v>
      </c>
      <c r="D68" s="82" t="e">
        <f>VLOOKUP(C68,$J$3:$N$78,2,FALSE)</f>
        <v>#N/A</v>
      </c>
      <c r="E68" s="126" t="e">
        <f>VLOOKUP(C68,$J$3:$N$78,3,FALSE)</f>
        <v>#N/A</v>
      </c>
      <c r="F68" s="126" t="e">
        <f>VLOOKUP(C68,$J$3:$N$78,4,FALSE)</f>
        <v>#N/A</v>
      </c>
      <c r="G68" s="82" t="e">
        <f>VLOOKUP(C68,$J$3:$N$78,5,FALSE)</f>
        <v>#N/A</v>
      </c>
      <c r="H68" s="82" t="e">
        <f t="shared" si="1"/>
        <v>#N/A</v>
      </c>
      <c r="J68" s="128" t="s">
        <v>139</v>
      </c>
      <c r="K68" s="129">
        <v>98</v>
      </c>
      <c r="L68" s="130">
        <v>0.068</v>
      </c>
      <c r="M68" s="132">
        <v>0.0219</v>
      </c>
      <c r="N68" s="128">
        <v>25</v>
      </c>
    </row>
    <row r="69" hidden="1" spans="1:14">
      <c r="A69" s="82" t="s">
        <v>8</v>
      </c>
      <c r="B69" s="82" t="s">
        <v>19</v>
      </c>
      <c r="C69" s="82" t="s">
        <v>140</v>
      </c>
      <c r="D69" s="82" t="e">
        <f>VLOOKUP(C69,$J$3:$N$78,2,FALSE)</f>
        <v>#N/A</v>
      </c>
      <c r="E69" s="126" t="e">
        <f>VLOOKUP(C69,$J$3:$N$78,3,FALSE)</f>
        <v>#N/A</v>
      </c>
      <c r="F69" s="126" t="e">
        <f>VLOOKUP(C69,$J$3:$N$78,4,FALSE)</f>
        <v>#N/A</v>
      </c>
      <c r="G69" s="82" t="e">
        <f>VLOOKUP(C69,$J$3:$N$78,5,FALSE)</f>
        <v>#N/A</v>
      </c>
      <c r="H69" s="82" t="e">
        <f t="shared" si="1"/>
        <v>#N/A</v>
      </c>
      <c r="J69" s="128" t="s">
        <v>141</v>
      </c>
      <c r="K69" s="129">
        <v>1912</v>
      </c>
      <c r="L69" s="130">
        <v>0.583</v>
      </c>
      <c r="M69" s="132">
        <v>0.0185</v>
      </c>
      <c r="N69" s="128">
        <v>61</v>
      </c>
    </row>
    <row r="70" ht="28.5" hidden="1" spans="1:14">
      <c r="A70" s="82" t="s">
        <v>8</v>
      </c>
      <c r="B70" s="82" t="s">
        <v>19</v>
      </c>
      <c r="C70" s="82" t="s">
        <v>142</v>
      </c>
      <c r="D70" s="82" t="e">
        <f>VLOOKUP(C70,$J$3:$N$78,2,FALSE)</f>
        <v>#N/A</v>
      </c>
      <c r="E70" s="126" t="e">
        <f>VLOOKUP(C70,$J$3:$N$78,3,FALSE)</f>
        <v>#N/A</v>
      </c>
      <c r="F70" s="126" t="e">
        <f>VLOOKUP(C70,$J$3:$N$78,4,FALSE)</f>
        <v>#N/A</v>
      </c>
      <c r="G70" s="82" t="e">
        <f>VLOOKUP(C70,$J$3:$N$78,5,FALSE)</f>
        <v>#N/A</v>
      </c>
      <c r="H70" s="82" t="e">
        <f t="shared" si="1"/>
        <v>#N/A</v>
      </c>
      <c r="J70" s="128" t="s">
        <v>143</v>
      </c>
      <c r="K70" s="129">
        <v>508</v>
      </c>
      <c r="L70" s="130">
        <v>0.262</v>
      </c>
      <c r="M70" s="128" t="s">
        <v>144</v>
      </c>
      <c r="N70" s="128">
        <v>75</v>
      </c>
    </row>
    <row r="71" hidden="1" spans="1:14">
      <c r="A71" s="82" t="s">
        <v>8</v>
      </c>
      <c r="B71" s="82" t="s">
        <v>19</v>
      </c>
      <c r="C71" s="82" t="s">
        <v>145</v>
      </c>
      <c r="D71" s="82" t="e">
        <f>VLOOKUP(C71,$J$3:$N$78,2,FALSE)</f>
        <v>#N/A</v>
      </c>
      <c r="E71" s="126" t="e">
        <f>VLOOKUP(C71,$J$3:$N$78,3,FALSE)</f>
        <v>#N/A</v>
      </c>
      <c r="F71" s="126" t="e">
        <f>VLOOKUP(C71,$J$3:$N$78,4,FALSE)</f>
        <v>#N/A</v>
      </c>
      <c r="G71" s="82" t="e">
        <f>VLOOKUP(C71,$J$3:$N$78,5,FALSE)</f>
        <v>#N/A</v>
      </c>
      <c r="H71" s="82" t="e">
        <f t="shared" si="1"/>
        <v>#N/A</v>
      </c>
      <c r="J71" s="128" t="s">
        <v>146</v>
      </c>
      <c r="K71" s="129">
        <v>60</v>
      </c>
      <c r="L71" s="130">
        <v>0.715</v>
      </c>
      <c r="M71" s="132">
        <v>0.035</v>
      </c>
      <c r="N71" s="128">
        <v>9</v>
      </c>
    </row>
    <row r="72" hidden="1" spans="1:14">
      <c r="A72" s="82" t="s">
        <v>8</v>
      </c>
      <c r="B72" s="82" t="s">
        <v>19</v>
      </c>
      <c r="C72" s="82" t="s">
        <v>147</v>
      </c>
      <c r="D72" s="82" t="e">
        <f>VLOOKUP(C72,$J$3:$N$78,2,FALSE)</f>
        <v>#N/A</v>
      </c>
      <c r="E72" s="126" t="e">
        <f>VLOOKUP(C72,$J$3:$N$78,3,FALSE)</f>
        <v>#N/A</v>
      </c>
      <c r="F72" s="126" t="e">
        <f>VLOOKUP(C72,$J$3:$N$78,4,FALSE)</f>
        <v>#N/A</v>
      </c>
      <c r="G72" s="82" t="e">
        <f>VLOOKUP(C72,$J$3:$N$78,5,FALSE)</f>
        <v>#N/A</v>
      </c>
      <c r="H72" s="82" t="e">
        <f t="shared" si="1"/>
        <v>#N/A</v>
      </c>
      <c r="J72" s="128" t="s">
        <v>148</v>
      </c>
      <c r="K72" s="129">
        <v>64</v>
      </c>
      <c r="L72" s="130">
        <v>-0.076</v>
      </c>
      <c r="M72" s="132">
        <v>0.0638</v>
      </c>
      <c r="N72" s="128">
        <v>29</v>
      </c>
    </row>
    <row r="73" hidden="1" spans="1:14">
      <c r="A73" s="82" t="s">
        <v>8</v>
      </c>
      <c r="B73" s="82" t="s">
        <v>19</v>
      </c>
      <c r="C73" s="82" t="s">
        <v>149</v>
      </c>
      <c r="D73" s="82" t="e">
        <f>VLOOKUP(C73,$J$3:$N$78,2,FALSE)</f>
        <v>#N/A</v>
      </c>
      <c r="E73" s="126" t="e">
        <f>VLOOKUP(C73,$J$3:$N$78,3,FALSE)</f>
        <v>#N/A</v>
      </c>
      <c r="F73" s="126" t="e">
        <f>VLOOKUP(C73,$J$3:$N$78,4,FALSE)</f>
        <v>#N/A</v>
      </c>
      <c r="G73" s="82" t="e">
        <f>VLOOKUP(C73,$J$3:$N$78,5,FALSE)</f>
        <v>#N/A</v>
      </c>
      <c r="H73" s="82" t="e">
        <f t="shared" si="1"/>
        <v>#N/A</v>
      </c>
      <c r="J73" s="128" t="s">
        <v>150</v>
      </c>
      <c r="K73" s="129">
        <v>17</v>
      </c>
      <c r="L73" s="131">
        <v>-0.38</v>
      </c>
      <c r="M73" s="132">
        <v>0.0204</v>
      </c>
      <c r="N73" s="128">
        <v>17</v>
      </c>
    </row>
    <row r="74" hidden="1" spans="1:14">
      <c r="A74" s="82" t="s">
        <v>8</v>
      </c>
      <c r="B74" s="82" t="s">
        <v>19</v>
      </c>
      <c r="C74" s="82" t="s">
        <v>151</v>
      </c>
      <c r="D74" s="82" t="e">
        <f>VLOOKUP(C74,$J$3:$N$78,2,FALSE)</f>
        <v>#N/A</v>
      </c>
      <c r="E74" s="126" t="e">
        <f>VLOOKUP(C74,$J$3:$N$78,3,FALSE)</f>
        <v>#N/A</v>
      </c>
      <c r="F74" s="126" t="e">
        <f>VLOOKUP(C74,$J$3:$N$78,4,FALSE)</f>
        <v>#N/A</v>
      </c>
      <c r="G74" s="82" t="e">
        <f>VLOOKUP(C74,$J$3:$N$78,5,FALSE)</f>
        <v>#N/A</v>
      </c>
      <c r="H74" s="82" t="e">
        <f t="shared" si="1"/>
        <v>#N/A</v>
      </c>
      <c r="J74" s="128" t="s">
        <v>152</v>
      </c>
      <c r="K74" s="129">
        <v>45</v>
      </c>
      <c r="L74" s="130">
        <v>0.138</v>
      </c>
      <c r="M74" s="132">
        <v>0.0244</v>
      </c>
      <c r="N74" s="128">
        <v>42</v>
      </c>
    </row>
    <row r="75" hidden="1" spans="1:14">
      <c r="A75" s="82" t="s">
        <v>8</v>
      </c>
      <c r="B75" s="82" t="s">
        <v>19</v>
      </c>
      <c r="C75" s="82" t="s">
        <v>153</v>
      </c>
      <c r="D75" s="82" t="e">
        <f>VLOOKUP(C75,$J$3:$N$78,2,FALSE)</f>
        <v>#N/A</v>
      </c>
      <c r="E75" s="126" t="e">
        <f>VLOOKUP(C75,$J$3:$N$78,3,FALSE)</f>
        <v>#N/A</v>
      </c>
      <c r="F75" s="126" t="e">
        <f>VLOOKUP(C75,$J$3:$N$78,4,FALSE)</f>
        <v>#N/A</v>
      </c>
      <c r="G75" s="82" t="e">
        <f>VLOOKUP(C75,$J$3:$N$78,5,FALSE)</f>
        <v>#N/A</v>
      </c>
      <c r="H75" s="82" t="e">
        <f t="shared" si="1"/>
        <v>#N/A</v>
      </c>
      <c r="J75" s="128" t="s">
        <v>154</v>
      </c>
      <c r="K75" s="129">
        <v>393</v>
      </c>
      <c r="L75" s="130">
        <v>0.667</v>
      </c>
      <c r="M75" s="132">
        <v>0.0115</v>
      </c>
      <c r="N75" s="128">
        <v>34</v>
      </c>
    </row>
    <row r="76" hidden="1" spans="1:14">
      <c r="A76" s="82" t="s">
        <v>8</v>
      </c>
      <c r="B76" s="82" t="s">
        <v>19</v>
      </c>
      <c r="C76" s="82" t="s">
        <v>155</v>
      </c>
      <c r="D76" s="82" t="e">
        <f>VLOOKUP(C76,$J$3:$N$78,2,FALSE)</f>
        <v>#N/A</v>
      </c>
      <c r="E76" s="126" t="e">
        <f>VLOOKUP(C76,$J$3:$N$78,3,FALSE)</f>
        <v>#N/A</v>
      </c>
      <c r="F76" s="126" t="e">
        <f>VLOOKUP(C76,$J$3:$N$78,4,FALSE)</f>
        <v>#N/A</v>
      </c>
      <c r="G76" s="82" t="e">
        <f>VLOOKUP(C76,$J$3:$N$78,5,FALSE)</f>
        <v>#N/A</v>
      </c>
      <c r="H76" s="82" t="e">
        <f t="shared" si="1"/>
        <v>#N/A</v>
      </c>
      <c r="J76" s="128" t="s">
        <v>156</v>
      </c>
      <c r="K76" s="129">
        <v>643</v>
      </c>
      <c r="L76" s="130">
        <v>0.193</v>
      </c>
      <c r="M76" s="132">
        <v>0.0381</v>
      </c>
      <c r="N76" s="128">
        <v>123</v>
      </c>
    </row>
    <row r="77" hidden="1" spans="1:14">
      <c r="A77" s="82" t="s">
        <v>8</v>
      </c>
      <c r="B77" s="82" t="s">
        <v>19</v>
      </c>
      <c r="C77" s="82" t="s">
        <v>157</v>
      </c>
      <c r="D77" s="82" t="e">
        <f>VLOOKUP(C77,$J$3:$N$78,2,FALSE)</f>
        <v>#N/A</v>
      </c>
      <c r="E77" s="126" t="e">
        <f>VLOOKUP(C77,$J$3:$N$78,3,FALSE)</f>
        <v>#N/A</v>
      </c>
      <c r="F77" s="126" t="e">
        <f>VLOOKUP(C77,$J$3:$N$78,4,FALSE)</f>
        <v>#N/A</v>
      </c>
      <c r="G77" s="82" t="e">
        <f>VLOOKUP(C77,$J$3:$N$78,5,FALSE)</f>
        <v>#N/A</v>
      </c>
      <c r="H77" s="82" t="e">
        <f t="shared" si="1"/>
        <v>#N/A</v>
      </c>
      <c r="J77" s="128" t="s">
        <v>158</v>
      </c>
      <c r="K77" s="129">
        <v>79</v>
      </c>
      <c r="L77" s="130">
        <v>-0.049</v>
      </c>
      <c r="M77" s="132">
        <v>0.0318</v>
      </c>
      <c r="N77" s="128">
        <v>48</v>
      </c>
    </row>
    <row r="78" hidden="1" spans="1:14">
      <c r="A78" s="82" t="s">
        <v>8</v>
      </c>
      <c r="B78" s="82" t="s">
        <v>19</v>
      </c>
      <c r="C78" s="82" t="s">
        <v>159</v>
      </c>
      <c r="D78" s="82" t="e">
        <f>VLOOKUP(C78,$J$3:$N$78,2,FALSE)</f>
        <v>#N/A</v>
      </c>
      <c r="E78" s="126" t="e">
        <f>VLOOKUP(C78,$J$3:$N$78,3,FALSE)</f>
        <v>#N/A</v>
      </c>
      <c r="F78" s="126" t="e">
        <f>VLOOKUP(C78,$J$3:$N$78,4,FALSE)</f>
        <v>#N/A</v>
      </c>
      <c r="G78" s="82" t="e">
        <f>VLOOKUP(C78,$J$3:$N$78,5,FALSE)</f>
        <v>#N/A</v>
      </c>
      <c r="H78" s="82" t="e">
        <f t="shared" si="1"/>
        <v>#N/A</v>
      </c>
      <c r="J78" s="128" t="s">
        <v>160</v>
      </c>
      <c r="K78" s="129">
        <v>16</v>
      </c>
      <c r="L78" s="130">
        <v>-0.063</v>
      </c>
      <c r="M78" s="132">
        <v>0.0667</v>
      </c>
      <c r="N78" s="128">
        <v>25</v>
      </c>
    </row>
    <row r="79" hidden="1" spans="1:8">
      <c r="A79" s="82" t="s">
        <v>8</v>
      </c>
      <c r="B79" s="82" t="s">
        <v>12</v>
      </c>
      <c r="C79" s="82" t="s">
        <v>161</v>
      </c>
      <c r="D79" s="82" t="e">
        <f>VLOOKUP(C79,$J$3:$N$78,2,FALSE)</f>
        <v>#N/A</v>
      </c>
      <c r="E79" s="126" t="e">
        <f>VLOOKUP(C79,$J$3:$N$78,3,FALSE)</f>
        <v>#N/A</v>
      </c>
      <c r="F79" s="126" t="e">
        <f>VLOOKUP(C79,$J$3:$N$78,4,FALSE)</f>
        <v>#N/A</v>
      </c>
      <c r="G79" s="82" t="e">
        <f>VLOOKUP(C79,$J$3:$N$78,5,FALSE)</f>
        <v>#N/A</v>
      </c>
      <c r="H79" s="82" t="e">
        <f t="shared" si="1"/>
        <v>#N/A</v>
      </c>
    </row>
    <row r="80" hidden="1" spans="1:8">
      <c r="A80" s="82" t="s">
        <v>8</v>
      </c>
      <c r="B80" s="82" t="s">
        <v>12</v>
      </c>
      <c r="C80" s="82" t="s">
        <v>162</v>
      </c>
      <c r="D80" s="82" t="e">
        <f>VLOOKUP(C80,$J$3:$N$78,2,FALSE)</f>
        <v>#N/A</v>
      </c>
      <c r="E80" s="126" t="e">
        <f>VLOOKUP(C80,$J$3:$N$78,3,FALSE)</f>
        <v>#N/A</v>
      </c>
      <c r="F80" s="126" t="e">
        <f>VLOOKUP(C80,$J$3:$N$78,4,FALSE)</f>
        <v>#N/A</v>
      </c>
      <c r="G80" s="82" t="e">
        <f>VLOOKUP(C80,$J$3:$N$78,5,FALSE)</f>
        <v>#N/A</v>
      </c>
      <c r="H80" s="82" t="e">
        <f t="shared" si="1"/>
        <v>#N/A</v>
      </c>
    </row>
    <row r="81" hidden="1" spans="1:8">
      <c r="A81" s="82" t="s">
        <v>8</v>
      </c>
      <c r="B81" s="82" t="s">
        <v>12</v>
      </c>
      <c r="C81" s="82" t="s">
        <v>163</v>
      </c>
      <c r="D81" s="82" t="e">
        <f>VLOOKUP(C81,$J$3:$N$78,2,FALSE)</f>
        <v>#N/A</v>
      </c>
      <c r="E81" s="126" t="e">
        <f>VLOOKUP(C81,$J$3:$N$78,3,FALSE)</f>
        <v>#N/A</v>
      </c>
      <c r="F81" s="126" t="e">
        <f>VLOOKUP(C81,$J$3:$N$78,4,FALSE)</f>
        <v>#N/A</v>
      </c>
      <c r="G81" s="82" t="e">
        <f>VLOOKUP(C81,$J$3:$N$78,5,FALSE)</f>
        <v>#N/A</v>
      </c>
      <c r="H81" s="82" t="e">
        <f t="shared" si="1"/>
        <v>#N/A</v>
      </c>
    </row>
    <row r="82" hidden="1" spans="1:8">
      <c r="A82" s="82" t="s">
        <v>8</v>
      </c>
      <c r="B82" s="82" t="s">
        <v>12</v>
      </c>
      <c r="C82" s="82" t="s">
        <v>164</v>
      </c>
      <c r="D82" s="82" t="e">
        <f>VLOOKUP(C82,$J$3:$N$78,2,FALSE)</f>
        <v>#N/A</v>
      </c>
      <c r="E82" s="126" t="e">
        <f>VLOOKUP(C82,$J$3:$N$78,3,FALSE)</f>
        <v>#N/A</v>
      </c>
      <c r="F82" s="126" t="e">
        <f>VLOOKUP(C82,$J$3:$N$78,4,FALSE)</f>
        <v>#N/A</v>
      </c>
      <c r="G82" s="82" t="e">
        <f>VLOOKUP(C82,$J$3:$N$78,5,FALSE)</f>
        <v>#N/A</v>
      </c>
      <c r="H82" s="82" t="e">
        <f t="shared" si="1"/>
        <v>#N/A</v>
      </c>
    </row>
    <row r="83" hidden="1" spans="1:8">
      <c r="A83" s="82" t="s">
        <v>8</v>
      </c>
      <c r="B83" s="82" t="s">
        <v>12</v>
      </c>
      <c r="C83" s="82" t="s">
        <v>165</v>
      </c>
      <c r="D83" s="82" t="e">
        <f>VLOOKUP(C83,$J$3:$N$78,2,FALSE)</f>
        <v>#N/A</v>
      </c>
      <c r="E83" s="126" t="e">
        <f>VLOOKUP(C83,$J$3:$N$78,3,FALSE)</f>
        <v>#N/A</v>
      </c>
      <c r="F83" s="126" t="e">
        <f>VLOOKUP(C83,$J$3:$N$78,4,FALSE)</f>
        <v>#N/A</v>
      </c>
      <c r="G83" s="82" t="e">
        <f>VLOOKUP(C83,$J$3:$N$78,5,FALSE)</f>
        <v>#N/A</v>
      </c>
      <c r="H83" s="82" t="e">
        <f t="shared" si="1"/>
        <v>#N/A</v>
      </c>
    </row>
    <row r="84" hidden="1" spans="1:8">
      <c r="A84" s="82" t="s">
        <v>8</v>
      </c>
      <c r="B84" s="82" t="s">
        <v>12</v>
      </c>
      <c r="C84" s="82" t="s">
        <v>166</v>
      </c>
      <c r="D84" s="82" t="e">
        <f>VLOOKUP(C84,$J$3:$N$78,2,FALSE)</f>
        <v>#N/A</v>
      </c>
      <c r="E84" s="126" t="e">
        <f>VLOOKUP(C84,$J$3:$N$78,3,FALSE)</f>
        <v>#N/A</v>
      </c>
      <c r="F84" s="126" t="e">
        <f>VLOOKUP(C84,$J$3:$N$78,4,FALSE)</f>
        <v>#N/A</v>
      </c>
      <c r="G84" s="82" t="e">
        <f>VLOOKUP(C84,$J$3:$N$78,5,FALSE)</f>
        <v>#N/A</v>
      </c>
      <c r="H84" s="82" t="e">
        <f t="shared" si="1"/>
        <v>#N/A</v>
      </c>
    </row>
    <row r="85" hidden="1" spans="1:8">
      <c r="A85" s="82" t="s">
        <v>8</v>
      </c>
      <c r="B85" s="82" t="s">
        <v>12</v>
      </c>
      <c r="C85" s="82" t="s">
        <v>167</v>
      </c>
      <c r="D85" s="82" t="e">
        <f>VLOOKUP(C85,$J$3:$N$78,2,FALSE)</f>
        <v>#N/A</v>
      </c>
      <c r="E85" s="126" t="e">
        <f>VLOOKUP(C85,$J$3:$N$78,3,FALSE)</f>
        <v>#N/A</v>
      </c>
      <c r="F85" s="126" t="e">
        <f>VLOOKUP(C85,$J$3:$N$78,4,FALSE)</f>
        <v>#N/A</v>
      </c>
      <c r="G85" s="82" t="e">
        <f>VLOOKUP(C85,$J$3:$N$78,5,FALSE)</f>
        <v>#N/A</v>
      </c>
      <c r="H85" s="82" t="e">
        <f t="shared" si="1"/>
        <v>#N/A</v>
      </c>
    </row>
    <row r="86" hidden="1" spans="1:8">
      <c r="A86" s="82" t="s">
        <v>8</v>
      </c>
      <c r="B86" s="82" t="s">
        <v>12</v>
      </c>
      <c r="C86" s="82" t="s">
        <v>168</v>
      </c>
      <c r="D86" s="82" t="e">
        <f>VLOOKUP(C86,$J$3:$N$78,2,FALSE)</f>
        <v>#N/A</v>
      </c>
      <c r="E86" s="126" t="e">
        <f>VLOOKUP(C86,$J$3:$N$78,3,FALSE)</f>
        <v>#N/A</v>
      </c>
      <c r="F86" s="126" t="e">
        <f>VLOOKUP(C86,$J$3:$N$78,4,FALSE)</f>
        <v>#N/A</v>
      </c>
      <c r="G86" s="82" t="e">
        <f>VLOOKUP(C86,$J$3:$N$78,5,FALSE)</f>
        <v>#N/A</v>
      </c>
      <c r="H86" s="82" t="e">
        <f t="shared" si="1"/>
        <v>#N/A</v>
      </c>
    </row>
    <row r="87" hidden="1" spans="1:8">
      <c r="A87" s="82" t="s">
        <v>8</v>
      </c>
      <c r="B87" s="82" t="s">
        <v>12</v>
      </c>
      <c r="C87" s="82" t="s">
        <v>169</v>
      </c>
      <c r="D87" s="82" t="e">
        <f>VLOOKUP(C87,$J$3:$N$78,2,FALSE)</f>
        <v>#N/A</v>
      </c>
      <c r="E87" s="126" t="e">
        <f>VLOOKUP(C87,$J$3:$N$78,3,FALSE)</f>
        <v>#N/A</v>
      </c>
      <c r="F87" s="126" t="e">
        <f>VLOOKUP(C87,$J$3:$N$78,4,FALSE)</f>
        <v>#N/A</v>
      </c>
      <c r="G87" s="82" t="e">
        <f>VLOOKUP(C87,$J$3:$N$78,5,FALSE)</f>
        <v>#N/A</v>
      </c>
      <c r="H87" s="82" t="e">
        <f t="shared" si="1"/>
        <v>#N/A</v>
      </c>
    </row>
    <row r="88" hidden="1" spans="1:8">
      <c r="A88" s="82" t="s">
        <v>8</v>
      </c>
      <c r="B88" s="82" t="s">
        <v>12</v>
      </c>
      <c r="C88" s="82" t="s">
        <v>170</v>
      </c>
      <c r="D88" s="82" t="e">
        <f>VLOOKUP(C88,$J$3:$N$78,2,FALSE)</f>
        <v>#N/A</v>
      </c>
      <c r="E88" s="126" t="e">
        <f>VLOOKUP(C88,$J$3:$N$78,3,FALSE)</f>
        <v>#N/A</v>
      </c>
      <c r="F88" s="126" t="e">
        <f>VLOOKUP(C88,$J$3:$N$78,4,FALSE)</f>
        <v>#N/A</v>
      </c>
      <c r="G88" s="82" t="e">
        <f>VLOOKUP(C88,$J$3:$N$78,5,FALSE)</f>
        <v>#N/A</v>
      </c>
      <c r="H88" s="82" t="e">
        <f t="shared" si="1"/>
        <v>#N/A</v>
      </c>
    </row>
    <row r="89" hidden="1" spans="1:8">
      <c r="A89" s="82" t="s">
        <v>8</v>
      </c>
      <c r="B89" s="82" t="s">
        <v>12</v>
      </c>
      <c r="C89" s="82" t="s">
        <v>171</v>
      </c>
      <c r="D89" s="82" t="e">
        <f>VLOOKUP(C89,$J$3:$N$78,2,FALSE)</f>
        <v>#N/A</v>
      </c>
      <c r="E89" s="126" t="e">
        <f>VLOOKUP(C89,$J$3:$N$78,3,FALSE)</f>
        <v>#N/A</v>
      </c>
      <c r="F89" s="126" t="e">
        <f>VLOOKUP(C89,$J$3:$N$78,4,FALSE)</f>
        <v>#N/A</v>
      </c>
      <c r="G89" s="82" t="e">
        <f>VLOOKUP(C89,$J$3:$N$78,5,FALSE)</f>
        <v>#N/A</v>
      </c>
      <c r="H89" s="82" t="e">
        <f t="shared" si="1"/>
        <v>#N/A</v>
      </c>
    </row>
    <row r="90" hidden="1" spans="1:8">
      <c r="A90" s="82" t="s">
        <v>8</v>
      </c>
      <c r="B90" s="82" t="s">
        <v>12</v>
      </c>
      <c r="C90" s="82" t="s">
        <v>172</v>
      </c>
      <c r="D90" s="82" t="e">
        <f>VLOOKUP(C90,$J$3:$N$78,2,FALSE)</f>
        <v>#N/A</v>
      </c>
      <c r="E90" s="126" t="e">
        <f>VLOOKUP(C90,$J$3:$N$78,3,FALSE)</f>
        <v>#N/A</v>
      </c>
      <c r="F90" s="126" t="e">
        <f>VLOOKUP(C90,$J$3:$N$78,4,FALSE)</f>
        <v>#N/A</v>
      </c>
      <c r="G90" s="82" t="e">
        <f>VLOOKUP(C90,$J$3:$N$78,5,FALSE)</f>
        <v>#N/A</v>
      </c>
      <c r="H90" s="82" t="e">
        <f t="shared" si="1"/>
        <v>#N/A</v>
      </c>
    </row>
    <row r="91" hidden="1" spans="1:8">
      <c r="A91" s="82" t="s">
        <v>8</v>
      </c>
      <c r="B91" s="82" t="s">
        <v>12</v>
      </c>
      <c r="C91" s="82" t="s">
        <v>173</v>
      </c>
      <c r="D91" s="82" t="e">
        <f>VLOOKUP(C91,$J$3:$N$78,2,FALSE)</f>
        <v>#N/A</v>
      </c>
      <c r="E91" s="126" t="e">
        <f>VLOOKUP(C91,$J$3:$N$78,3,FALSE)</f>
        <v>#N/A</v>
      </c>
      <c r="F91" s="126" t="e">
        <f>VLOOKUP(C91,$J$3:$N$78,4,FALSE)</f>
        <v>#N/A</v>
      </c>
      <c r="G91" s="82" t="e">
        <f>VLOOKUP(C91,$J$3:$N$78,5,FALSE)</f>
        <v>#N/A</v>
      </c>
      <c r="H91" s="82" t="e">
        <f t="shared" si="1"/>
        <v>#N/A</v>
      </c>
    </row>
    <row r="92" hidden="1" spans="1:8">
      <c r="A92" s="82" t="s">
        <v>8</v>
      </c>
      <c r="B92" s="82" t="s">
        <v>12</v>
      </c>
      <c r="C92" s="82" t="s">
        <v>174</v>
      </c>
      <c r="D92" s="82" t="e">
        <f>VLOOKUP(C92,$J$3:$N$78,2,FALSE)</f>
        <v>#N/A</v>
      </c>
      <c r="E92" s="126" t="e">
        <f>VLOOKUP(C92,$J$3:$N$78,3,FALSE)</f>
        <v>#N/A</v>
      </c>
      <c r="F92" s="126" t="e">
        <f>VLOOKUP(C92,$J$3:$N$78,4,FALSE)</f>
        <v>#N/A</v>
      </c>
      <c r="G92" s="82" t="e">
        <f>VLOOKUP(C92,$J$3:$N$78,5,FALSE)</f>
        <v>#N/A</v>
      </c>
      <c r="H92" s="82" t="e">
        <f t="shared" si="1"/>
        <v>#N/A</v>
      </c>
    </row>
    <row r="93" hidden="1" spans="1:8">
      <c r="A93" s="82" t="s">
        <v>8</v>
      </c>
      <c r="B93" s="82" t="s">
        <v>12</v>
      </c>
      <c r="C93" s="82" t="s">
        <v>175</v>
      </c>
      <c r="D93" s="82" t="e">
        <f>VLOOKUP(C93,$J$3:$N$78,2,FALSE)</f>
        <v>#N/A</v>
      </c>
      <c r="E93" s="126" t="e">
        <f>VLOOKUP(C93,$J$3:$N$78,3,FALSE)</f>
        <v>#N/A</v>
      </c>
      <c r="F93" s="126" t="e">
        <f>VLOOKUP(C93,$J$3:$N$78,4,FALSE)</f>
        <v>#N/A</v>
      </c>
      <c r="G93" s="82" t="e">
        <f>VLOOKUP(C93,$J$3:$N$78,5,FALSE)</f>
        <v>#N/A</v>
      </c>
      <c r="H93" s="82" t="e">
        <f t="shared" si="1"/>
        <v>#N/A</v>
      </c>
    </row>
    <row r="94" hidden="1" spans="1:8">
      <c r="A94" s="82" t="s">
        <v>8</v>
      </c>
      <c r="B94" s="82" t="s">
        <v>12</v>
      </c>
      <c r="C94" s="82" t="s">
        <v>176</v>
      </c>
      <c r="D94" s="82" t="e">
        <f>VLOOKUP(C94,$J$3:$N$78,2,FALSE)</f>
        <v>#N/A</v>
      </c>
      <c r="E94" s="126" t="e">
        <f>VLOOKUP(C94,$J$3:$N$78,3,FALSE)</f>
        <v>#N/A</v>
      </c>
      <c r="F94" s="126" t="e">
        <f>VLOOKUP(C94,$J$3:$N$78,4,FALSE)</f>
        <v>#N/A</v>
      </c>
      <c r="G94" s="82" t="e">
        <f>VLOOKUP(C94,$J$3:$N$78,5,FALSE)</f>
        <v>#N/A</v>
      </c>
      <c r="H94" s="82" t="e">
        <f t="shared" si="1"/>
        <v>#N/A</v>
      </c>
    </row>
    <row r="95" hidden="1" spans="1:8">
      <c r="A95" s="82" t="s">
        <v>8</v>
      </c>
      <c r="B95" s="82" t="s">
        <v>12</v>
      </c>
      <c r="C95" s="82" t="s">
        <v>177</v>
      </c>
      <c r="D95" s="82" t="e">
        <f>VLOOKUP(C95,$J$3:$N$78,2,FALSE)</f>
        <v>#N/A</v>
      </c>
      <c r="E95" s="126" t="e">
        <f>VLOOKUP(C95,$J$3:$N$78,3,FALSE)</f>
        <v>#N/A</v>
      </c>
      <c r="F95" s="126" t="e">
        <f>VLOOKUP(C95,$J$3:$N$78,4,FALSE)</f>
        <v>#N/A</v>
      </c>
      <c r="G95" s="82" t="e">
        <f>VLOOKUP(C95,$J$3:$N$78,5,FALSE)</f>
        <v>#N/A</v>
      </c>
      <c r="H95" s="82" t="e">
        <f t="shared" si="1"/>
        <v>#N/A</v>
      </c>
    </row>
    <row r="96" hidden="1" spans="1:8">
      <c r="A96" s="82" t="s">
        <v>8</v>
      </c>
      <c r="B96" s="82" t="s">
        <v>12</v>
      </c>
      <c r="C96" s="82" t="s">
        <v>178</v>
      </c>
      <c r="D96" s="82" t="e">
        <f>VLOOKUP(C96,$J$3:$N$78,2,FALSE)</f>
        <v>#N/A</v>
      </c>
      <c r="E96" s="126" t="e">
        <f>VLOOKUP(C96,$J$3:$N$78,3,FALSE)</f>
        <v>#N/A</v>
      </c>
      <c r="F96" s="126" t="e">
        <f>VLOOKUP(C96,$J$3:$N$78,4,FALSE)</f>
        <v>#N/A</v>
      </c>
      <c r="G96" s="82" t="e">
        <f>VLOOKUP(C96,$J$3:$N$78,5,FALSE)</f>
        <v>#N/A</v>
      </c>
      <c r="H96" s="82" t="e">
        <f t="shared" si="1"/>
        <v>#N/A</v>
      </c>
    </row>
    <row r="97" hidden="1" spans="1:8">
      <c r="A97" s="82" t="s">
        <v>8</v>
      </c>
      <c r="B97" s="82" t="s">
        <v>12</v>
      </c>
      <c r="C97" s="82" t="s">
        <v>179</v>
      </c>
      <c r="D97" s="82" t="e">
        <f>VLOOKUP(C97,$J$3:$N$78,2,FALSE)</f>
        <v>#N/A</v>
      </c>
      <c r="E97" s="126" t="e">
        <f>VLOOKUP(C97,$J$3:$N$78,3,FALSE)</f>
        <v>#N/A</v>
      </c>
      <c r="F97" s="126" t="e">
        <f>VLOOKUP(C97,$J$3:$N$78,4,FALSE)</f>
        <v>#N/A</v>
      </c>
      <c r="G97" s="82" t="e">
        <f>VLOOKUP(C97,$J$3:$N$78,5,FALSE)</f>
        <v>#N/A</v>
      </c>
      <c r="H97" s="82" t="e">
        <f t="shared" si="1"/>
        <v>#N/A</v>
      </c>
    </row>
    <row r="98" hidden="1" spans="1:8">
      <c r="A98" s="82" t="s">
        <v>8</v>
      </c>
      <c r="B98" s="82" t="s">
        <v>12</v>
      </c>
      <c r="C98" s="82" t="s">
        <v>180</v>
      </c>
      <c r="D98" s="82" t="e">
        <f>VLOOKUP(C98,$J$3:$N$78,2,FALSE)</f>
        <v>#N/A</v>
      </c>
      <c r="E98" s="126" t="e">
        <f>VLOOKUP(C98,$J$3:$N$78,3,FALSE)</f>
        <v>#N/A</v>
      </c>
      <c r="F98" s="126" t="e">
        <f>VLOOKUP(C98,$J$3:$N$78,4,FALSE)</f>
        <v>#N/A</v>
      </c>
      <c r="G98" s="82" t="e">
        <f>VLOOKUP(C98,$J$3:$N$78,5,FALSE)</f>
        <v>#N/A</v>
      </c>
      <c r="H98" s="82" t="e">
        <f t="shared" si="1"/>
        <v>#N/A</v>
      </c>
    </row>
    <row r="99" hidden="1" spans="1:8">
      <c r="A99" s="82" t="s">
        <v>8</v>
      </c>
      <c r="B99" s="82" t="s">
        <v>12</v>
      </c>
      <c r="C99" s="82" t="s">
        <v>181</v>
      </c>
      <c r="D99" s="82" t="e">
        <f>VLOOKUP(C99,$J$3:$N$78,2,FALSE)</f>
        <v>#N/A</v>
      </c>
      <c r="E99" s="126" t="e">
        <f>VLOOKUP(C99,$J$3:$N$78,3,FALSE)</f>
        <v>#N/A</v>
      </c>
      <c r="F99" s="126" t="e">
        <f>VLOOKUP(C99,$J$3:$N$78,4,FALSE)</f>
        <v>#N/A</v>
      </c>
      <c r="G99" s="82" t="e">
        <f>VLOOKUP(C99,$J$3:$N$78,5,FALSE)</f>
        <v>#N/A</v>
      </c>
      <c r="H99" s="82" t="e">
        <f t="shared" si="1"/>
        <v>#N/A</v>
      </c>
    </row>
    <row r="100" hidden="1" spans="1:8">
      <c r="A100" s="82" t="s">
        <v>8</v>
      </c>
      <c r="B100" s="82" t="s">
        <v>12</v>
      </c>
      <c r="C100" s="82" t="s">
        <v>182</v>
      </c>
      <c r="D100" s="82" t="e">
        <f>VLOOKUP(C100,$J$3:$N$78,2,FALSE)</f>
        <v>#N/A</v>
      </c>
      <c r="E100" s="126" t="e">
        <f>VLOOKUP(C100,$J$3:$N$78,3,FALSE)</f>
        <v>#N/A</v>
      </c>
      <c r="F100" s="126" t="e">
        <f>VLOOKUP(C100,$J$3:$N$78,4,FALSE)</f>
        <v>#N/A</v>
      </c>
      <c r="G100" s="82" t="e">
        <f>VLOOKUP(C100,$J$3:$N$78,5,FALSE)</f>
        <v>#N/A</v>
      </c>
      <c r="H100" s="82" t="e">
        <f t="shared" si="1"/>
        <v>#N/A</v>
      </c>
    </row>
    <row r="101" hidden="1" spans="1:8">
      <c r="A101" s="82" t="s">
        <v>8</v>
      </c>
      <c r="B101" s="82" t="s">
        <v>12</v>
      </c>
      <c r="C101" s="82" t="s">
        <v>183</v>
      </c>
      <c r="D101" s="82" t="e">
        <f>VLOOKUP(C101,$J$3:$N$78,2,FALSE)</f>
        <v>#N/A</v>
      </c>
      <c r="E101" s="126" t="e">
        <f>VLOOKUP(C101,$J$3:$N$78,3,FALSE)</f>
        <v>#N/A</v>
      </c>
      <c r="F101" s="126" t="e">
        <f>VLOOKUP(C101,$J$3:$N$78,4,FALSE)</f>
        <v>#N/A</v>
      </c>
      <c r="G101" s="82" t="e">
        <f>VLOOKUP(C101,$J$3:$N$78,5,FALSE)</f>
        <v>#N/A</v>
      </c>
      <c r="H101" s="82" t="e">
        <f t="shared" si="1"/>
        <v>#N/A</v>
      </c>
    </row>
    <row r="102" hidden="1" spans="1:8">
      <c r="A102" s="82" t="s">
        <v>8</v>
      </c>
      <c r="B102" s="82" t="s">
        <v>12</v>
      </c>
      <c r="C102" s="82" t="s">
        <v>184</v>
      </c>
      <c r="D102" s="82" t="e">
        <f>VLOOKUP(C102,$J$3:$N$78,2,FALSE)</f>
        <v>#N/A</v>
      </c>
      <c r="E102" s="126" t="e">
        <f>VLOOKUP(C102,$J$3:$N$78,3,FALSE)</f>
        <v>#N/A</v>
      </c>
      <c r="F102" s="126" t="e">
        <f>VLOOKUP(C102,$J$3:$N$78,4,FALSE)</f>
        <v>#N/A</v>
      </c>
      <c r="G102" s="82" t="e">
        <f>VLOOKUP(C102,$J$3:$N$78,5,FALSE)</f>
        <v>#N/A</v>
      </c>
      <c r="H102" s="82" t="e">
        <f t="shared" si="1"/>
        <v>#N/A</v>
      </c>
    </row>
    <row r="103" hidden="1" spans="1:8">
      <c r="A103" s="82" t="s">
        <v>8</v>
      </c>
      <c r="B103" s="82" t="s">
        <v>12</v>
      </c>
      <c r="C103" s="82" t="s">
        <v>185</v>
      </c>
      <c r="D103" s="82" t="e">
        <f>VLOOKUP(C103,$J$3:$N$78,2,FALSE)</f>
        <v>#N/A</v>
      </c>
      <c r="E103" s="126" t="e">
        <f>VLOOKUP(C103,$J$3:$N$78,3,FALSE)</f>
        <v>#N/A</v>
      </c>
      <c r="F103" s="126" t="e">
        <f>VLOOKUP(C103,$J$3:$N$78,4,FALSE)</f>
        <v>#N/A</v>
      </c>
      <c r="G103" s="82" t="e">
        <f>VLOOKUP(C103,$J$3:$N$78,5,FALSE)</f>
        <v>#N/A</v>
      </c>
      <c r="H103" s="82" t="e">
        <f t="shared" si="1"/>
        <v>#N/A</v>
      </c>
    </row>
    <row r="104" hidden="1" spans="1:8">
      <c r="A104" s="82" t="s">
        <v>8</v>
      </c>
      <c r="B104" s="82" t="s">
        <v>12</v>
      </c>
      <c r="C104" s="82" t="s">
        <v>186</v>
      </c>
      <c r="D104" s="82" t="e">
        <f>VLOOKUP(C104,$J$3:$N$78,2,FALSE)</f>
        <v>#N/A</v>
      </c>
      <c r="E104" s="126" t="e">
        <f>VLOOKUP(C104,$J$3:$N$78,3,FALSE)</f>
        <v>#N/A</v>
      </c>
      <c r="F104" s="126" t="e">
        <f>VLOOKUP(C104,$J$3:$N$78,4,FALSE)</f>
        <v>#N/A</v>
      </c>
      <c r="G104" s="82" t="e">
        <f>VLOOKUP(C104,$J$3:$N$78,5,FALSE)</f>
        <v>#N/A</v>
      </c>
      <c r="H104" s="82" t="e">
        <f t="shared" si="1"/>
        <v>#N/A</v>
      </c>
    </row>
    <row r="105" hidden="1" spans="1:8">
      <c r="A105" s="82" t="s">
        <v>8</v>
      </c>
      <c r="B105" s="82" t="s">
        <v>12</v>
      </c>
      <c r="C105" s="82" t="s">
        <v>187</v>
      </c>
      <c r="D105" s="82" t="e">
        <f>VLOOKUP(C105,$J$3:$N$78,2,FALSE)</f>
        <v>#N/A</v>
      </c>
      <c r="E105" s="126" t="e">
        <f>VLOOKUP(C105,$J$3:$N$78,3,FALSE)</f>
        <v>#N/A</v>
      </c>
      <c r="F105" s="126" t="e">
        <f>VLOOKUP(C105,$J$3:$N$78,4,FALSE)</f>
        <v>#N/A</v>
      </c>
      <c r="G105" s="82" t="e">
        <f>VLOOKUP(C105,$J$3:$N$78,5,FALSE)</f>
        <v>#N/A</v>
      </c>
      <c r="H105" s="82" t="e">
        <f t="shared" si="1"/>
        <v>#N/A</v>
      </c>
    </row>
    <row r="106" hidden="1" spans="1:8">
      <c r="A106" s="82" t="s">
        <v>8</v>
      </c>
      <c r="B106" s="82" t="s">
        <v>12</v>
      </c>
      <c r="C106" s="82" t="s">
        <v>188</v>
      </c>
      <c r="D106" s="82" t="e">
        <f>VLOOKUP(C106,$J$3:$N$78,2,FALSE)</f>
        <v>#N/A</v>
      </c>
      <c r="E106" s="126" t="e">
        <f>VLOOKUP(C106,$J$3:$N$78,3,FALSE)</f>
        <v>#N/A</v>
      </c>
      <c r="F106" s="126" t="e">
        <f>VLOOKUP(C106,$J$3:$N$78,4,FALSE)</f>
        <v>#N/A</v>
      </c>
      <c r="G106" s="82" t="e">
        <f>VLOOKUP(C106,$J$3:$N$78,5,FALSE)</f>
        <v>#N/A</v>
      </c>
      <c r="H106" s="82" t="e">
        <f t="shared" si="1"/>
        <v>#N/A</v>
      </c>
    </row>
    <row r="107" hidden="1" spans="1:8">
      <c r="A107" s="82" t="s">
        <v>8</v>
      </c>
      <c r="B107" s="82" t="s">
        <v>12</v>
      </c>
      <c r="C107" s="82" t="s">
        <v>189</v>
      </c>
      <c r="D107" s="82" t="e">
        <f>VLOOKUP(C107,$J$3:$N$78,2,FALSE)</f>
        <v>#N/A</v>
      </c>
      <c r="E107" s="126" t="e">
        <f>VLOOKUP(C107,$J$3:$N$78,3,FALSE)</f>
        <v>#N/A</v>
      </c>
      <c r="F107" s="126" t="e">
        <f>VLOOKUP(C107,$J$3:$N$78,4,FALSE)</f>
        <v>#N/A</v>
      </c>
      <c r="G107" s="82" t="e">
        <f>VLOOKUP(C107,$J$3:$N$78,5,FALSE)</f>
        <v>#N/A</v>
      </c>
      <c r="H107" s="82" t="e">
        <f t="shared" si="1"/>
        <v>#N/A</v>
      </c>
    </row>
    <row r="108" hidden="1" spans="1:8">
      <c r="A108" s="82" t="s">
        <v>8</v>
      </c>
      <c r="B108" s="82" t="s">
        <v>12</v>
      </c>
      <c r="C108" s="82" t="s">
        <v>190</v>
      </c>
      <c r="D108" s="82" t="e">
        <f>VLOOKUP(C108,$J$3:$N$78,2,FALSE)</f>
        <v>#N/A</v>
      </c>
      <c r="E108" s="126" t="e">
        <f>VLOOKUP(C108,$J$3:$N$78,3,FALSE)</f>
        <v>#N/A</v>
      </c>
      <c r="F108" s="126" t="e">
        <f>VLOOKUP(C108,$J$3:$N$78,4,FALSE)</f>
        <v>#N/A</v>
      </c>
      <c r="G108" s="82" t="e">
        <f>VLOOKUP(C108,$J$3:$N$78,5,FALSE)</f>
        <v>#N/A</v>
      </c>
      <c r="H108" s="82" t="e">
        <f t="shared" si="1"/>
        <v>#N/A</v>
      </c>
    </row>
    <row r="109" hidden="1" spans="1:8">
      <c r="A109" s="82" t="s">
        <v>8</v>
      </c>
      <c r="B109" s="82" t="s">
        <v>12</v>
      </c>
      <c r="C109" s="82" t="s">
        <v>191</v>
      </c>
      <c r="D109" s="82" t="e">
        <f>VLOOKUP(C109,$J$3:$N$78,2,FALSE)</f>
        <v>#N/A</v>
      </c>
      <c r="E109" s="126" t="e">
        <f>VLOOKUP(C109,$J$3:$N$78,3,FALSE)</f>
        <v>#N/A</v>
      </c>
      <c r="F109" s="126" t="e">
        <f>VLOOKUP(C109,$J$3:$N$78,4,FALSE)</f>
        <v>#N/A</v>
      </c>
      <c r="G109" s="82" t="e">
        <f>VLOOKUP(C109,$J$3:$N$78,5,FALSE)</f>
        <v>#N/A</v>
      </c>
      <c r="H109" s="82" t="e">
        <f t="shared" si="1"/>
        <v>#N/A</v>
      </c>
    </row>
    <row r="110" hidden="1" spans="1:8">
      <c r="A110" s="82" t="s">
        <v>8</v>
      </c>
      <c r="B110" s="82" t="s">
        <v>12</v>
      </c>
      <c r="C110" s="82" t="s">
        <v>192</v>
      </c>
      <c r="D110" s="82" t="e">
        <f>VLOOKUP(C110,$J$3:$N$78,2,FALSE)</f>
        <v>#N/A</v>
      </c>
      <c r="E110" s="126" t="e">
        <f>VLOOKUP(C110,$J$3:$N$78,3,FALSE)</f>
        <v>#N/A</v>
      </c>
      <c r="F110" s="126" t="e">
        <f>VLOOKUP(C110,$J$3:$N$78,4,FALSE)</f>
        <v>#N/A</v>
      </c>
      <c r="G110" s="82" t="e">
        <f>VLOOKUP(C110,$J$3:$N$78,5,FALSE)</f>
        <v>#N/A</v>
      </c>
      <c r="H110" s="82" t="e">
        <f t="shared" si="1"/>
        <v>#N/A</v>
      </c>
    </row>
    <row r="111" hidden="1" spans="1:8">
      <c r="A111" s="82" t="s">
        <v>8</v>
      </c>
      <c r="B111" s="82" t="s">
        <v>12</v>
      </c>
      <c r="C111" s="82" t="s">
        <v>193</v>
      </c>
      <c r="D111" s="82" t="e">
        <f>VLOOKUP(C111,$J$3:$N$78,2,FALSE)</f>
        <v>#N/A</v>
      </c>
      <c r="E111" s="126" t="e">
        <f>VLOOKUP(C111,$J$3:$N$78,3,FALSE)</f>
        <v>#N/A</v>
      </c>
      <c r="F111" s="126" t="e">
        <f>VLOOKUP(C111,$J$3:$N$78,4,FALSE)</f>
        <v>#N/A</v>
      </c>
      <c r="G111" s="82" t="e">
        <f>VLOOKUP(C111,$J$3:$N$78,5,FALSE)</f>
        <v>#N/A</v>
      </c>
      <c r="H111" s="82" t="e">
        <f t="shared" si="1"/>
        <v>#N/A</v>
      </c>
    </row>
    <row r="112" hidden="1" spans="1:8">
      <c r="A112" s="82" t="s">
        <v>8</v>
      </c>
      <c r="B112" s="82" t="s">
        <v>12</v>
      </c>
      <c r="C112" s="82" t="s">
        <v>194</v>
      </c>
      <c r="D112" s="82" t="e">
        <f>VLOOKUP(C112,$J$3:$N$78,2,FALSE)</f>
        <v>#N/A</v>
      </c>
      <c r="E112" s="126" t="e">
        <f>VLOOKUP(C112,$J$3:$N$78,3,FALSE)</f>
        <v>#N/A</v>
      </c>
      <c r="F112" s="126" t="e">
        <f>VLOOKUP(C112,$J$3:$N$78,4,FALSE)</f>
        <v>#N/A</v>
      </c>
      <c r="G112" s="82" t="e">
        <f>VLOOKUP(C112,$J$3:$N$78,5,FALSE)</f>
        <v>#N/A</v>
      </c>
      <c r="H112" s="82" t="e">
        <f t="shared" si="1"/>
        <v>#N/A</v>
      </c>
    </row>
    <row r="113" hidden="1" spans="1:8">
      <c r="A113" s="82" t="s">
        <v>8</v>
      </c>
      <c r="B113" s="82" t="s">
        <v>12</v>
      </c>
      <c r="C113" s="82" t="s">
        <v>195</v>
      </c>
      <c r="D113" s="82" t="e">
        <f>VLOOKUP(C113,$J$3:$N$78,2,FALSE)</f>
        <v>#N/A</v>
      </c>
      <c r="E113" s="126" t="e">
        <f>VLOOKUP(C113,$J$3:$N$78,3,FALSE)</f>
        <v>#N/A</v>
      </c>
      <c r="F113" s="126" t="e">
        <f>VLOOKUP(C113,$J$3:$N$78,4,FALSE)</f>
        <v>#N/A</v>
      </c>
      <c r="G113" s="82" t="e">
        <f>VLOOKUP(C113,$J$3:$N$78,5,FALSE)</f>
        <v>#N/A</v>
      </c>
      <c r="H113" s="82" t="e">
        <f t="shared" si="1"/>
        <v>#N/A</v>
      </c>
    </row>
    <row r="114" hidden="1" spans="1:8">
      <c r="A114" s="82" t="s">
        <v>8</v>
      </c>
      <c r="B114" s="82" t="s">
        <v>12</v>
      </c>
      <c r="C114" s="82" t="s">
        <v>196</v>
      </c>
      <c r="D114" s="82" t="e">
        <f>VLOOKUP(C114,$J$3:$N$78,2,FALSE)</f>
        <v>#N/A</v>
      </c>
      <c r="E114" s="126" t="e">
        <f>VLOOKUP(C114,$J$3:$N$78,3,FALSE)</f>
        <v>#N/A</v>
      </c>
      <c r="F114" s="126" t="e">
        <f>VLOOKUP(C114,$J$3:$N$78,4,FALSE)</f>
        <v>#N/A</v>
      </c>
      <c r="G114" s="82" t="e">
        <f>VLOOKUP(C114,$J$3:$N$78,5,FALSE)</f>
        <v>#N/A</v>
      </c>
      <c r="H114" s="82" t="e">
        <f t="shared" si="1"/>
        <v>#N/A</v>
      </c>
    </row>
    <row r="115" hidden="1" spans="1:8">
      <c r="A115" s="82" t="s">
        <v>8</v>
      </c>
      <c r="B115" s="82" t="s">
        <v>12</v>
      </c>
      <c r="C115" s="82" t="s">
        <v>197</v>
      </c>
      <c r="D115" s="82" t="e">
        <f>VLOOKUP(C115,$J$3:$N$78,2,FALSE)</f>
        <v>#N/A</v>
      </c>
      <c r="E115" s="126" t="e">
        <f>VLOOKUP(C115,$J$3:$N$78,3,FALSE)</f>
        <v>#N/A</v>
      </c>
      <c r="F115" s="126" t="e">
        <f>VLOOKUP(C115,$J$3:$N$78,4,FALSE)</f>
        <v>#N/A</v>
      </c>
      <c r="G115" s="82" t="e">
        <f>VLOOKUP(C115,$J$3:$N$78,5,FALSE)</f>
        <v>#N/A</v>
      </c>
      <c r="H115" s="82" t="e">
        <f t="shared" si="1"/>
        <v>#N/A</v>
      </c>
    </row>
    <row r="116" hidden="1" spans="1:8">
      <c r="A116" s="82" t="s">
        <v>8</v>
      </c>
      <c r="B116" s="82" t="s">
        <v>12</v>
      </c>
      <c r="C116" s="82" t="s">
        <v>198</v>
      </c>
      <c r="D116" s="82" t="e">
        <f>VLOOKUP(C116,$J$3:$N$78,2,FALSE)</f>
        <v>#N/A</v>
      </c>
      <c r="E116" s="126" t="e">
        <f>VLOOKUP(C116,$J$3:$N$78,3,FALSE)</f>
        <v>#N/A</v>
      </c>
      <c r="F116" s="126" t="e">
        <f>VLOOKUP(C116,$J$3:$N$78,4,FALSE)</f>
        <v>#N/A</v>
      </c>
      <c r="G116" s="82" t="e">
        <f>VLOOKUP(C116,$J$3:$N$78,5,FALSE)</f>
        <v>#N/A</v>
      </c>
      <c r="H116" s="82" t="e">
        <f t="shared" si="1"/>
        <v>#N/A</v>
      </c>
    </row>
    <row r="117" hidden="1" spans="1:8">
      <c r="A117" s="82" t="s">
        <v>8</v>
      </c>
      <c r="B117" s="82" t="s">
        <v>12</v>
      </c>
      <c r="C117" s="82" t="s">
        <v>199</v>
      </c>
      <c r="D117" s="82" t="e">
        <f>VLOOKUP(C117,$J$3:$N$78,2,FALSE)</f>
        <v>#N/A</v>
      </c>
      <c r="E117" s="126" t="e">
        <f>VLOOKUP(C117,$J$3:$N$78,3,FALSE)</f>
        <v>#N/A</v>
      </c>
      <c r="F117" s="126" t="e">
        <f>VLOOKUP(C117,$J$3:$N$78,4,FALSE)</f>
        <v>#N/A</v>
      </c>
      <c r="G117" s="82" t="e">
        <f>VLOOKUP(C117,$J$3:$N$78,5,FALSE)</f>
        <v>#N/A</v>
      </c>
      <c r="H117" s="82" t="e">
        <f t="shared" si="1"/>
        <v>#N/A</v>
      </c>
    </row>
    <row r="118" hidden="1" spans="1:8">
      <c r="A118" s="82" t="s">
        <v>8</v>
      </c>
      <c r="B118" s="82" t="s">
        <v>12</v>
      </c>
      <c r="C118" s="82" t="s">
        <v>200</v>
      </c>
      <c r="D118" s="82" t="e">
        <f>VLOOKUP(C118,$J$3:$N$78,2,FALSE)</f>
        <v>#N/A</v>
      </c>
      <c r="E118" s="126" t="e">
        <f>VLOOKUP(C118,$J$3:$N$78,3,FALSE)</f>
        <v>#N/A</v>
      </c>
      <c r="F118" s="126" t="e">
        <f>VLOOKUP(C118,$J$3:$N$78,4,FALSE)</f>
        <v>#N/A</v>
      </c>
      <c r="G118" s="82" t="e">
        <f>VLOOKUP(C118,$J$3:$N$78,5,FALSE)</f>
        <v>#N/A</v>
      </c>
      <c r="H118" s="82" t="e">
        <f t="shared" si="1"/>
        <v>#N/A</v>
      </c>
    </row>
    <row r="119" hidden="1" spans="1:8">
      <c r="A119" s="82" t="s">
        <v>8</v>
      </c>
      <c r="B119" s="82" t="s">
        <v>12</v>
      </c>
      <c r="C119" s="82" t="s">
        <v>201</v>
      </c>
      <c r="D119" s="82" t="e">
        <f>VLOOKUP(C119,$J$3:$N$78,2,FALSE)</f>
        <v>#N/A</v>
      </c>
      <c r="E119" s="126" t="e">
        <f>VLOOKUP(C119,$J$3:$N$78,3,FALSE)</f>
        <v>#N/A</v>
      </c>
      <c r="F119" s="126" t="e">
        <f>VLOOKUP(C119,$J$3:$N$78,4,FALSE)</f>
        <v>#N/A</v>
      </c>
      <c r="G119" s="82" t="e">
        <f>VLOOKUP(C119,$J$3:$N$78,5,FALSE)</f>
        <v>#N/A</v>
      </c>
      <c r="H119" s="82" t="e">
        <f t="shared" si="1"/>
        <v>#N/A</v>
      </c>
    </row>
    <row r="120" hidden="1" spans="1:8">
      <c r="A120" s="82" t="s">
        <v>8</v>
      </c>
      <c r="B120" s="82" t="s">
        <v>12</v>
      </c>
      <c r="C120" s="82" t="s">
        <v>202</v>
      </c>
      <c r="D120" s="82" t="e">
        <f>VLOOKUP(C120,$J$3:$N$78,2,FALSE)</f>
        <v>#N/A</v>
      </c>
      <c r="E120" s="126" t="e">
        <f>VLOOKUP(C120,$J$3:$N$78,3,FALSE)</f>
        <v>#N/A</v>
      </c>
      <c r="F120" s="126" t="e">
        <f>VLOOKUP(C120,$J$3:$N$78,4,FALSE)</f>
        <v>#N/A</v>
      </c>
      <c r="G120" s="82" t="e">
        <f>VLOOKUP(C120,$J$3:$N$78,5,FALSE)</f>
        <v>#N/A</v>
      </c>
      <c r="H120" s="82" t="e">
        <f t="shared" si="1"/>
        <v>#N/A</v>
      </c>
    </row>
    <row r="121" hidden="1" spans="1:8">
      <c r="A121" s="82" t="s">
        <v>8</v>
      </c>
      <c r="B121" s="82" t="s">
        <v>12</v>
      </c>
      <c r="C121" s="82" t="s">
        <v>203</v>
      </c>
      <c r="D121" s="82" t="e">
        <f>VLOOKUP(C121,$J$3:$N$78,2,FALSE)</f>
        <v>#N/A</v>
      </c>
      <c r="E121" s="126" t="e">
        <f>VLOOKUP(C121,$J$3:$N$78,3,FALSE)</f>
        <v>#N/A</v>
      </c>
      <c r="F121" s="126" t="e">
        <f>VLOOKUP(C121,$J$3:$N$78,4,FALSE)</f>
        <v>#N/A</v>
      </c>
      <c r="G121" s="82" t="e">
        <f>VLOOKUP(C121,$J$3:$N$78,5,FALSE)</f>
        <v>#N/A</v>
      </c>
      <c r="H121" s="82" t="e">
        <f t="shared" si="1"/>
        <v>#N/A</v>
      </c>
    </row>
    <row r="122" hidden="1" spans="1:8">
      <c r="A122" s="82" t="s">
        <v>8</v>
      </c>
      <c r="B122" s="82" t="s">
        <v>12</v>
      </c>
      <c r="C122" s="82" t="s">
        <v>204</v>
      </c>
      <c r="D122" s="82" t="e">
        <f>VLOOKUP(C122,$J$3:$N$78,2,FALSE)</f>
        <v>#N/A</v>
      </c>
      <c r="E122" s="126" t="e">
        <f>VLOOKUP(C122,$J$3:$N$78,3,FALSE)</f>
        <v>#N/A</v>
      </c>
      <c r="F122" s="126" t="e">
        <f>VLOOKUP(C122,$J$3:$N$78,4,FALSE)</f>
        <v>#N/A</v>
      </c>
      <c r="G122" s="82" t="e">
        <f>VLOOKUP(C122,$J$3:$N$78,5,FALSE)</f>
        <v>#N/A</v>
      </c>
      <c r="H122" s="82" t="e">
        <f t="shared" si="1"/>
        <v>#N/A</v>
      </c>
    </row>
    <row r="123" hidden="1" spans="1:8">
      <c r="A123" s="82" t="s">
        <v>8</v>
      </c>
      <c r="B123" s="82" t="s">
        <v>12</v>
      </c>
      <c r="C123" s="82" t="s">
        <v>205</v>
      </c>
      <c r="D123" s="82" t="e">
        <f>VLOOKUP(C123,$J$3:$N$78,2,FALSE)</f>
        <v>#N/A</v>
      </c>
      <c r="E123" s="126" t="e">
        <f>VLOOKUP(C123,$J$3:$N$78,3,FALSE)</f>
        <v>#N/A</v>
      </c>
      <c r="F123" s="126" t="e">
        <f>VLOOKUP(C123,$J$3:$N$78,4,FALSE)</f>
        <v>#N/A</v>
      </c>
      <c r="G123" s="82" t="e">
        <f>VLOOKUP(C123,$J$3:$N$78,5,FALSE)</f>
        <v>#N/A</v>
      </c>
      <c r="H123" s="82" t="e">
        <f t="shared" si="1"/>
        <v>#N/A</v>
      </c>
    </row>
    <row r="124" hidden="1" spans="1:8">
      <c r="A124" s="82" t="s">
        <v>8</v>
      </c>
      <c r="B124" s="82" t="s">
        <v>206</v>
      </c>
      <c r="C124" s="82" t="s">
        <v>207</v>
      </c>
      <c r="D124" s="82" t="e">
        <f>VLOOKUP(C124,$J$3:$N$78,2,FALSE)</f>
        <v>#N/A</v>
      </c>
      <c r="E124" s="126" t="e">
        <f>VLOOKUP(C124,$J$3:$N$78,3,FALSE)</f>
        <v>#N/A</v>
      </c>
      <c r="F124" s="126" t="e">
        <f>VLOOKUP(C124,$J$3:$N$78,4,FALSE)</f>
        <v>#N/A</v>
      </c>
      <c r="G124" s="82" t="e">
        <f>VLOOKUP(C124,$J$3:$N$78,5,FALSE)</f>
        <v>#N/A</v>
      </c>
      <c r="H124" s="82" t="e">
        <f t="shared" si="1"/>
        <v>#N/A</v>
      </c>
    </row>
    <row r="125" hidden="1" spans="1:8">
      <c r="A125" s="82" t="s">
        <v>8</v>
      </c>
      <c r="B125" s="82" t="s">
        <v>206</v>
      </c>
      <c r="C125" s="82" t="s">
        <v>208</v>
      </c>
      <c r="D125" s="82" t="e">
        <f>VLOOKUP(C125,$J$3:$N$78,2,FALSE)</f>
        <v>#N/A</v>
      </c>
      <c r="E125" s="126" t="e">
        <f>VLOOKUP(C125,$J$3:$N$78,3,FALSE)</f>
        <v>#N/A</v>
      </c>
      <c r="F125" s="126" t="e">
        <f>VLOOKUP(C125,$J$3:$N$78,4,FALSE)</f>
        <v>#N/A</v>
      </c>
      <c r="G125" s="82" t="e">
        <f>VLOOKUP(C125,$J$3:$N$78,5,FALSE)</f>
        <v>#N/A</v>
      </c>
      <c r="H125" s="82" t="e">
        <f t="shared" si="1"/>
        <v>#N/A</v>
      </c>
    </row>
    <row r="126" hidden="1" spans="1:8">
      <c r="A126" s="82" t="s">
        <v>8</v>
      </c>
      <c r="B126" s="82" t="s">
        <v>206</v>
      </c>
      <c r="C126" s="82" t="s">
        <v>209</v>
      </c>
      <c r="D126" s="82" t="e">
        <f>VLOOKUP(C126,$J$3:$N$78,2,FALSE)</f>
        <v>#N/A</v>
      </c>
      <c r="E126" s="126" t="e">
        <f>VLOOKUP(C126,$J$3:$N$78,3,FALSE)</f>
        <v>#N/A</v>
      </c>
      <c r="F126" s="126" t="e">
        <f>VLOOKUP(C126,$J$3:$N$78,4,FALSE)</f>
        <v>#N/A</v>
      </c>
      <c r="G126" s="82" t="e">
        <f>VLOOKUP(C126,$J$3:$N$78,5,FALSE)</f>
        <v>#N/A</v>
      </c>
      <c r="H126" s="82" t="e">
        <f t="shared" si="1"/>
        <v>#N/A</v>
      </c>
    </row>
    <row r="127" hidden="1" spans="1:8">
      <c r="A127" s="82" t="s">
        <v>8</v>
      </c>
      <c r="B127" s="82" t="s">
        <v>210</v>
      </c>
      <c r="C127" s="82" t="s">
        <v>211</v>
      </c>
      <c r="D127" s="82" t="e">
        <f>VLOOKUP(C127,$J$3:$N$78,2,FALSE)</f>
        <v>#N/A</v>
      </c>
      <c r="E127" s="126" t="e">
        <f>VLOOKUP(C127,$J$3:$N$78,3,FALSE)</f>
        <v>#N/A</v>
      </c>
      <c r="F127" s="126" t="e">
        <f>VLOOKUP(C127,$J$3:$N$78,4,FALSE)</f>
        <v>#N/A</v>
      </c>
      <c r="G127" s="82" t="e">
        <f>VLOOKUP(C127,$J$3:$N$78,5,FALSE)</f>
        <v>#N/A</v>
      </c>
      <c r="H127" s="82" t="e">
        <f t="shared" si="1"/>
        <v>#N/A</v>
      </c>
    </row>
    <row r="128" hidden="1" spans="1:8">
      <c r="A128" s="82" t="s">
        <v>8</v>
      </c>
      <c r="B128" s="82" t="s">
        <v>210</v>
      </c>
      <c r="C128" s="82" t="s">
        <v>212</v>
      </c>
      <c r="D128" s="82" t="e">
        <f>VLOOKUP(C128,$J$3:$N$78,2,FALSE)</f>
        <v>#N/A</v>
      </c>
      <c r="E128" s="126" t="e">
        <f>VLOOKUP(C128,$J$3:$N$78,3,FALSE)</f>
        <v>#N/A</v>
      </c>
      <c r="F128" s="126" t="e">
        <f>VLOOKUP(C128,$J$3:$N$78,4,FALSE)</f>
        <v>#N/A</v>
      </c>
      <c r="G128" s="82" t="e">
        <f>VLOOKUP(C128,$J$3:$N$78,5,FALSE)</f>
        <v>#N/A</v>
      </c>
      <c r="H128" s="82" t="e">
        <f t="shared" si="1"/>
        <v>#N/A</v>
      </c>
    </row>
    <row r="129" hidden="1" spans="1:8">
      <c r="A129" s="82" t="s">
        <v>8</v>
      </c>
      <c r="B129" s="82" t="s">
        <v>210</v>
      </c>
      <c r="C129" s="82" t="s">
        <v>213</v>
      </c>
      <c r="D129" s="82" t="e">
        <f>VLOOKUP(C129,$J$3:$N$78,2,FALSE)</f>
        <v>#N/A</v>
      </c>
      <c r="E129" s="126" t="e">
        <f>VLOOKUP(C129,$J$3:$N$78,3,FALSE)</f>
        <v>#N/A</v>
      </c>
      <c r="F129" s="126" t="e">
        <f>VLOOKUP(C129,$J$3:$N$78,4,FALSE)</f>
        <v>#N/A</v>
      </c>
      <c r="G129" s="82" t="e">
        <f>VLOOKUP(C129,$J$3:$N$78,5,FALSE)</f>
        <v>#N/A</v>
      </c>
      <c r="H129" s="82" t="e">
        <f t="shared" si="1"/>
        <v>#N/A</v>
      </c>
    </row>
    <row r="130" hidden="1" spans="1:8">
      <c r="A130" s="82" t="s">
        <v>8</v>
      </c>
      <c r="B130" s="82" t="s">
        <v>210</v>
      </c>
      <c r="C130" s="82" t="s">
        <v>214</v>
      </c>
      <c r="D130" s="82" t="e">
        <f>VLOOKUP(C130,$J$3:$N$78,2,FALSE)</f>
        <v>#N/A</v>
      </c>
      <c r="E130" s="126" t="e">
        <f>VLOOKUP(C130,$J$3:$N$78,3,FALSE)</f>
        <v>#N/A</v>
      </c>
      <c r="F130" s="126" t="e">
        <f>VLOOKUP(C130,$J$3:$N$78,4,FALSE)</f>
        <v>#N/A</v>
      </c>
      <c r="G130" s="82" t="e">
        <f>VLOOKUP(C130,$J$3:$N$78,5,FALSE)</f>
        <v>#N/A</v>
      </c>
      <c r="H130" s="82" t="e">
        <f t="shared" si="1"/>
        <v>#N/A</v>
      </c>
    </row>
    <row r="131" hidden="1" spans="1:8">
      <c r="A131" s="82" t="s">
        <v>8</v>
      </c>
      <c r="B131" s="82" t="s">
        <v>210</v>
      </c>
      <c r="C131" s="82" t="s">
        <v>215</v>
      </c>
      <c r="D131" s="82" t="e">
        <f>VLOOKUP(C131,$J$3:$N$78,2,FALSE)</f>
        <v>#N/A</v>
      </c>
      <c r="E131" s="126" t="e">
        <f>VLOOKUP(C131,$J$3:$N$78,3,FALSE)</f>
        <v>#N/A</v>
      </c>
      <c r="F131" s="126" t="e">
        <f>VLOOKUP(C131,$J$3:$N$78,4,FALSE)</f>
        <v>#N/A</v>
      </c>
      <c r="G131" s="82" t="e">
        <f>VLOOKUP(C131,$J$3:$N$78,5,FALSE)</f>
        <v>#N/A</v>
      </c>
      <c r="H131" s="82" t="e">
        <f t="shared" ref="H131:H194" si="2">D131/G131</f>
        <v>#N/A</v>
      </c>
    </row>
    <row r="132" hidden="1" spans="1:8">
      <c r="A132" s="82" t="s">
        <v>8</v>
      </c>
      <c r="B132" s="82" t="s">
        <v>210</v>
      </c>
      <c r="C132" s="82" t="s">
        <v>216</v>
      </c>
      <c r="D132" s="82" t="e">
        <f>VLOOKUP(C132,$J$3:$N$78,2,FALSE)</f>
        <v>#N/A</v>
      </c>
      <c r="E132" s="126" t="e">
        <f>VLOOKUP(C132,$J$3:$N$78,3,FALSE)</f>
        <v>#N/A</v>
      </c>
      <c r="F132" s="126" t="e">
        <f>VLOOKUP(C132,$J$3:$N$78,4,FALSE)</f>
        <v>#N/A</v>
      </c>
      <c r="G132" s="82" t="e">
        <f>VLOOKUP(C132,$J$3:$N$78,5,FALSE)</f>
        <v>#N/A</v>
      </c>
      <c r="H132" s="82" t="e">
        <f t="shared" si="2"/>
        <v>#N/A</v>
      </c>
    </row>
    <row r="133" hidden="1" spans="1:8">
      <c r="A133" s="82" t="s">
        <v>8</v>
      </c>
      <c r="B133" s="82" t="s">
        <v>217</v>
      </c>
      <c r="C133" s="82" t="s">
        <v>218</v>
      </c>
      <c r="D133" s="82" t="e">
        <f>VLOOKUP(C133,$J$3:$N$78,2,FALSE)</f>
        <v>#N/A</v>
      </c>
      <c r="E133" s="126" t="e">
        <f>VLOOKUP(C133,$J$3:$N$78,3,FALSE)</f>
        <v>#N/A</v>
      </c>
      <c r="F133" s="126" t="e">
        <f>VLOOKUP(C133,$J$3:$N$78,4,FALSE)</f>
        <v>#N/A</v>
      </c>
      <c r="G133" s="82" t="e">
        <f>VLOOKUP(C133,$J$3:$N$78,5,FALSE)</f>
        <v>#N/A</v>
      </c>
      <c r="H133" s="82" t="e">
        <f t="shared" si="2"/>
        <v>#N/A</v>
      </c>
    </row>
    <row r="134" hidden="1" spans="1:8">
      <c r="A134" s="82" t="s">
        <v>8</v>
      </c>
      <c r="B134" s="82" t="s">
        <v>217</v>
      </c>
      <c r="C134" s="82" t="s">
        <v>219</v>
      </c>
      <c r="D134" s="82" t="e">
        <f>VLOOKUP(C134,$J$3:$N$78,2,FALSE)</f>
        <v>#N/A</v>
      </c>
      <c r="E134" s="126" t="e">
        <f>VLOOKUP(C134,$J$3:$N$78,3,FALSE)</f>
        <v>#N/A</v>
      </c>
      <c r="F134" s="126" t="e">
        <f>VLOOKUP(C134,$J$3:$N$78,4,FALSE)</f>
        <v>#N/A</v>
      </c>
      <c r="G134" s="82" t="e">
        <f>VLOOKUP(C134,$J$3:$N$78,5,FALSE)</f>
        <v>#N/A</v>
      </c>
      <c r="H134" s="82" t="e">
        <f t="shared" si="2"/>
        <v>#N/A</v>
      </c>
    </row>
    <row r="135" hidden="1" spans="1:8">
      <c r="A135" s="82" t="s">
        <v>8</v>
      </c>
      <c r="B135" s="82" t="s">
        <v>220</v>
      </c>
      <c r="C135" s="82" t="s">
        <v>221</v>
      </c>
      <c r="D135" s="82" t="e">
        <f>VLOOKUP(C135,$J$3:$N$78,2,FALSE)</f>
        <v>#N/A</v>
      </c>
      <c r="E135" s="126" t="e">
        <f>VLOOKUP(C135,$J$3:$N$78,3,FALSE)</f>
        <v>#N/A</v>
      </c>
      <c r="F135" s="126" t="e">
        <f>VLOOKUP(C135,$J$3:$N$78,4,FALSE)</f>
        <v>#N/A</v>
      </c>
      <c r="G135" s="82" t="e">
        <f>VLOOKUP(C135,$J$3:$N$78,5,FALSE)</f>
        <v>#N/A</v>
      </c>
      <c r="H135" s="82" t="e">
        <f t="shared" si="2"/>
        <v>#N/A</v>
      </c>
    </row>
    <row r="136" hidden="1" spans="1:8">
      <c r="A136" s="82" t="s">
        <v>8</v>
      </c>
      <c r="B136" s="82" t="s">
        <v>220</v>
      </c>
      <c r="C136" s="82" t="s">
        <v>222</v>
      </c>
      <c r="D136" s="82" t="e">
        <f>VLOOKUP(C136,$J$3:$N$78,2,FALSE)</f>
        <v>#N/A</v>
      </c>
      <c r="E136" s="126" t="e">
        <f>VLOOKUP(C136,$J$3:$N$78,3,FALSE)</f>
        <v>#N/A</v>
      </c>
      <c r="F136" s="126" t="e">
        <f>VLOOKUP(C136,$J$3:$N$78,4,FALSE)</f>
        <v>#N/A</v>
      </c>
      <c r="G136" s="82" t="e">
        <f>VLOOKUP(C136,$J$3:$N$78,5,FALSE)</f>
        <v>#N/A</v>
      </c>
      <c r="H136" s="82" t="e">
        <f t="shared" si="2"/>
        <v>#N/A</v>
      </c>
    </row>
    <row r="137" hidden="1" spans="1:8">
      <c r="A137" s="82" t="s">
        <v>8</v>
      </c>
      <c r="B137" s="82" t="s">
        <v>220</v>
      </c>
      <c r="C137" s="82" t="s">
        <v>223</v>
      </c>
      <c r="D137" s="82" t="e">
        <f>VLOOKUP(C137,$J$3:$N$78,2,FALSE)</f>
        <v>#N/A</v>
      </c>
      <c r="E137" s="126" t="e">
        <f>VLOOKUP(C137,$J$3:$N$78,3,FALSE)</f>
        <v>#N/A</v>
      </c>
      <c r="F137" s="126" t="e">
        <f>VLOOKUP(C137,$J$3:$N$78,4,FALSE)</f>
        <v>#N/A</v>
      </c>
      <c r="G137" s="82" t="e">
        <f>VLOOKUP(C137,$J$3:$N$78,5,FALSE)</f>
        <v>#N/A</v>
      </c>
      <c r="H137" s="82" t="e">
        <f t="shared" si="2"/>
        <v>#N/A</v>
      </c>
    </row>
    <row r="138" hidden="1" spans="1:8">
      <c r="A138" s="82" t="s">
        <v>8</v>
      </c>
      <c r="B138" s="82" t="s">
        <v>220</v>
      </c>
      <c r="C138" s="82" t="s">
        <v>224</v>
      </c>
      <c r="D138" s="82" t="e">
        <f>VLOOKUP(C138,$J$3:$N$78,2,FALSE)</f>
        <v>#N/A</v>
      </c>
      <c r="E138" s="126" t="e">
        <f>VLOOKUP(C138,$J$3:$N$78,3,FALSE)</f>
        <v>#N/A</v>
      </c>
      <c r="F138" s="126" t="e">
        <f>VLOOKUP(C138,$J$3:$N$78,4,FALSE)</f>
        <v>#N/A</v>
      </c>
      <c r="G138" s="82" t="e">
        <f>VLOOKUP(C138,$J$3:$N$78,5,FALSE)</f>
        <v>#N/A</v>
      </c>
      <c r="H138" s="82" t="e">
        <f t="shared" si="2"/>
        <v>#N/A</v>
      </c>
    </row>
    <row r="139" hidden="1" spans="1:8">
      <c r="A139" s="82" t="s">
        <v>8</v>
      </c>
      <c r="B139" s="82" t="s">
        <v>220</v>
      </c>
      <c r="C139" s="82" t="s">
        <v>225</v>
      </c>
      <c r="D139" s="82" t="e">
        <f>VLOOKUP(C139,$J$3:$N$78,2,FALSE)</f>
        <v>#N/A</v>
      </c>
      <c r="E139" s="126" t="e">
        <f>VLOOKUP(C139,$J$3:$N$78,3,FALSE)</f>
        <v>#N/A</v>
      </c>
      <c r="F139" s="126" t="e">
        <f>VLOOKUP(C139,$J$3:$N$78,4,FALSE)</f>
        <v>#N/A</v>
      </c>
      <c r="G139" s="82" t="e">
        <f>VLOOKUP(C139,$J$3:$N$78,5,FALSE)</f>
        <v>#N/A</v>
      </c>
      <c r="H139" s="82" t="e">
        <f t="shared" si="2"/>
        <v>#N/A</v>
      </c>
    </row>
    <row r="140" hidden="1" spans="1:8">
      <c r="A140" s="82" t="s">
        <v>8</v>
      </c>
      <c r="B140" s="82" t="s">
        <v>220</v>
      </c>
      <c r="C140" s="82" t="s">
        <v>226</v>
      </c>
      <c r="D140" s="82" t="e">
        <f>VLOOKUP(C140,$J$3:$N$78,2,FALSE)</f>
        <v>#N/A</v>
      </c>
      <c r="E140" s="126" t="e">
        <f>VLOOKUP(C140,$J$3:$N$78,3,FALSE)</f>
        <v>#N/A</v>
      </c>
      <c r="F140" s="126" t="e">
        <f>VLOOKUP(C140,$J$3:$N$78,4,FALSE)</f>
        <v>#N/A</v>
      </c>
      <c r="G140" s="82" t="e">
        <f>VLOOKUP(C140,$J$3:$N$78,5,FALSE)</f>
        <v>#N/A</v>
      </c>
      <c r="H140" s="82" t="e">
        <f t="shared" si="2"/>
        <v>#N/A</v>
      </c>
    </row>
    <row r="141" hidden="1" spans="1:8">
      <c r="A141" s="82" t="s">
        <v>8</v>
      </c>
      <c r="B141" s="82" t="s">
        <v>220</v>
      </c>
      <c r="C141" s="82" t="s">
        <v>227</v>
      </c>
      <c r="D141" s="82" t="e">
        <f>VLOOKUP(C141,$J$3:$N$78,2,FALSE)</f>
        <v>#N/A</v>
      </c>
      <c r="E141" s="126" t="e">
        <f>VLOOKUP(C141,$J$3:$N$78,3,FALSE)</f>
        <v>#N/A</v>
      </c>
      <c r="F141" s="126" t="e">
        <f>VLOOKUP(C141,$J$3:$N$78,4,FALSE)</f>
        <v>#N/A</v>
      </c>
      <c r="G141" s="82" t="e">
        <f>VLOOKUP(C141,$J$3:$N$78,5,FALSE)</f>
        <v>#N/A</v>
      </c>
      <c r="H141" s="82" t="e">
        <f t="shared" si="2"/>
        <v>#N/A</v>
      </c>
    </row>
    <row r="142" hidden="1" spans="1:8">
      <c r="A142" s="82" t="s">
        <v>8</v>
      </c>
      <c r="B142" s="82" t="s">
        <v>220</v>
      </c>
      <c r="C142" s="82" t="s">
        <v>228</v>
      </c>
      <c r="D142" s="82" t="e">
        <f>VLOOKUP(C142,$J$3:$N$78,2,FALSE)</f>
        <v>#N/A</v>
      </c>
      <c r="E142" s="126" t="e">
        <f>VLOOKUP(C142,$J$3:$N$78,3,FALSE)</f>
        <v>#N/A</v>
      </c>
      <c r="F142" s="126" t="e">
        <f>VLOOKUP(C142,$J$3:$N$78,4,FALSE)</f>
        <v>#N/A</v>
      </c>
      <c r="G142" s="82" t="e">
        <f>VLOOKUP(C142,$J$3:$N$78,5,FALSE)</f>
        <v>#N/A</v>
      </c>
      <c r="H142" s="82" t="e">
        <f t="shared" si="2"/>
        <v>#N/A</v>
      </c>
    </row>
    <row r="143" hidden="1" spans="1:8">
      <c r="A143" s="82" t="s">
        <v>8</v>
      </c>
      <c r="B143" s="82" t="s">
        <v>220</v>
      </c>
      <c r="C143" s="82" t="s">
        <v>229</v>
      </c>
      <c r="D143" s="82" t="e">
        <f>VLOOKUP(C143,$J$3:$N$78,2,FALSE)</f>
        <v>#N/A</v>
      </c>
      <c r="E143" s="126" t="e">
        <f>VLOOKUP(C143,$J$3:$N$78,3,FALSE)</f>
        <v>#N/A</v>
      </c>
      <c r="F143" s="126" t="e">
        <f>VLOOKUP(C143,$J$3:$N$78,4,FALSE)</f>
        <v>#N/A</v>
      </c>
      <c r="G143" s="82" t="e">
        <f>VLOOKUP(C143,$J$3:$N$78,5,FALSE)</f>
        <v>#N/A</v>
      </c>
      <c r="H143" s="82" t="e">
        <f t="shared" si="2"/>
        <v>#N/A</v>
      </c>
    </row>
    <row r="144" hidden="1" spans="1:8">
      <c r="A144" s="82" t="s">
        <v>8</v>
      </c>
      <c r="B144" s="82" t="s">
        <v>220</v>
      </c>
      <c r="C144" s="82" t="s">
        <v>230</v>
      </c>
      <c r="D144" s="82" t="e">
        <f>VLOOKUP(C144,$J$3:$N$78,2,FALSE)</f>
        <v>#N/A</v>
      </c>
      <c r="E144" s="126" t="e">
        <f>VLOOKUP(C144,$J$3:$N$78,3,FALSE)</f>
        <v>#N/A</v>
      </c>
      <c r="F144" s="126" t="e">
        <f>VLOOKUP(C144,$J$3:$N$78,4,FALSE)</f>
        <v>#N/A</v>
      </c>
      <c r="G144" s="82" t="e">
        <f>VLOOKUP(C144,$J$3:$N$78,5,FALSE)</f>
        <v>#N/A</v>
      </c>
      <c r="H144" s="82" t="e">
        <f t="shared" si="2"/>
        <v>#N/A</v>
      </c>
    </row>
    <row r="145" hidden="1" spans="1:8">
      <c r="A145" s="82" t="s">
        <v>8</v>
      </c>
      <c r="B145" s="82" t="s">
        <v>220</v>
      </c>
      <c r="C145" s="82" t="s">
        <v>231</v>
      </c>
      <c r="D145" s="82" t="e">
        <f>VLOOKUP(C145,$J$3:$N$78,2,FALSE)</f>
        <v>#N/A</v>
      </c>
      <c r="E145" s="126" t="e">
        <f>VLOOKUP(C145,$J$3:$N$78,3,FALSE)</f>
        <v>#N/A</v>
      </c>
      <c r="F145" s="126" t="e">
        <f>VLOOKUP(C145,$J$3:$N$78,4,FALSE)</f>
        <v>#N/A</v>
      </c>
      <c r="G145" s="82" t="e">
        <f>VLOOKUP(C145,$J$3:$N$78,5,FALSE)</f>
        <v>#N/A</v>
      </c>
      <c r="H145" s="82" t="e">
        <f t="shared" si="2"/>
        <v>#N/A</v>
      </c>
    </row>
    <row r="146" hidden="1" spans="1:8">
      <c r="A146" s="82" t="s">
        <v>8</v>
      </c>
      <c r="B146" s="82" t="s">
        <v>232</v>
      </c>
      <c r="C146" s="82" t="s">
        <v>233</v>
      </c>
      <c r="D146" s="82" t="e">
        <f>VLOOKUP(C146,$J$3:$N$78,2,FALSE)</f>
        <v>#N/A</v>
      </c>
      <c r="E146" s="126" t="e">
        <f>VLOOKUP(C146,$J$3:$N$78,3,FALSE)</f>
        <v>#N/A</v>
      </c>
      <c r="F146" s="126" t="e">
        <f>VLOOKUP(C146,$J$3:$N$78,4,FALSE)</f>
        <v>#N/A</v>
      </c>
      <c r="G146" s="82" t="e">
        <f>VLOOKUP(C146,$J$3:$N$78,5,FALSE)</f>
        <v>#N/A</v>
      </c>
      <c r="H146" s="82" t="e">
        <f t="shared" si="2"/>
        <v>#N/A</v>
      </c>
    </row>
    <row r="147" hidden="1" spans="1:8">
      <c r="A147" s="82" t="s">
        <v>8</v>
      </c>
      <c r="B147" s="82" t="s">
        <v>232</v>
      </c>
      <c r="C147" s="82" t="s">
        <v>234</v>
      </c>
      <c r="D147" s="82" t="e">
        <f>VLOOKUP(C147,$J$3:$N$78,2,FALSE)</f>
        <v>#N/A</v>
      </c>
      <c r="E147" s="126" t="e">
        <f>VLOOKUP(C147,$J$3:$N$78,3,FALSE)</f>
        <v>#N/A</v>
      </c>
      <c r="F147" s="126" t="e">
        <f>VLOOKUP(C147,$J$3:$N$78,4,FALSE)</f>
        <v>#N/A</v>
      </c>
      <c r="G147" s="82" t="e">
        <f>VLOOKUP(C147,$J$3:$N$78,5,FALSE)</f>
        <v>#N/A</v>
      </c>
      <c r="H147" s="82" t="e">
        <f t="shared" si="2"/>
        <v>#N/A</v>
      </c>
    </row>
    <row r="148" hidden="1" spans="1:8">
      <c r="A148" s="82" t="s">
        <v>8</v>
      </c>
      <c r="B148" s="82" t="s">
        <v>232</v>
      </c>
      <c r="C148" s="82" t="s">
        <v>235</v>
      </c>
      <c r="D148" s="82" t="e">
        <f>VLOOKUP(C148,$J$3:$N$78,2,FALSE)</f>
        <v>#N/A</v>
      </c>
      <c r="E148" s="126" t="e">
        <f>VLOOKUP(C148,$J$3:$N$78,3,FALSE)</f>
        <v>#N/A</v>
      </c>
      <c r="F148" s="126" t="e">
        <f>VLOOKUP(C148,$J$3:$N$78,4,FALSE)</f>
        <v>#N/A</v>
      </c>
      <c r="G148" s="82" t="e">
        <f>VLOOKUP(C148,$J$3:$N$78,5,FALSE)</f>
        <v>#N/A</v>
      </c>
      <c r="H148" s="82" t="e">
        <f t="shared" si="2"/>
        <v>#N/A</v>
      </c>
    </row>
    <row r="149" hidden="1" spans="1:8">
      <c r="A149" s="82" t="s">
        <v>8</v>
      </c>
      <c r="B149" s="82" t="s">
        <v>232</v>
      </c>
      <c r="C149" s="82" t="s">
        <v>236</v>
      </c>
      <c r="D149" s="82" t="e">
        <f>VLOOKUP(C149,$J$3:$N$78,2,FALSE)</f>
        <v>#N/A</v>
      </c>
      <c r="E149" s="126" t="e">
        <f>VLOOKUP(C149,$J$3:$N$78,3,FALSE)</f>
        <v>#N/A</v>
      </c>
      <c r="F149" s="126" t="e">
        <f>VLOOKUP(C149,$J$3:$N$78,4,FALSE)</f>
        <v>#N/A</v>
      </c>
      <c r="G149" s="82" t="e">
        <f>VLOOKUP(C149,$J$3:$N$78,5,FALSE)</f>
        <v>#N/A</v>
      </c>
      <c r="H149" s="82" t="e">
        <f t="shared" si="2"/>
        <v>#N/A</v>
      </c>
    </row>
    <row r="150" hidden="1" spans="1:8">
      <c r="A150" s="82" t="s">
        <v>8</v>
      </c>
      <c r="B150" s="82" t="s">
        <v>232</v>
      </c>
      <c r="C150" s="82" t="s">
        <v>237</v>
      </c>
      <c r="D150" s="82" t="e">
        <f>VLOOKUP(C150,$J$3:$N$78,2,FALSE)</f>
        <v>#N/A</v>
      </c>
      <c r="E150" s="126" t="e">
        <f>VLOOKUP(C150,$J$3:$N$78,3,FALSE)</f>
        <v>#N/A</v>
      </c>
      <c r="F150" s="126" t="e">
        <f>VLOOKUP(C150,$J$3:$N$78,4,FALSE)</f>
        <v>#N/A</v>
      </c>
      <c r="G150" s="82" t="e">
        <f>VLOOKUP(C150,$J$3:$N$78,5,FALSE)</f>
        <v>#N/A</v>
      </c>
      <c r="H150" s="82" t="e">
        <f t="shared" si="2"/>
        <v>#N/A</v>
      </c>
    </row>
    <row r="151" hidden="1" spans="1:8">
      <c r="A151" s="82" t="s">
        <v>8</v>
      </c>
      <c r="B151" s="82" t="s">
        <v>232</v>
      </c>
      <c r="C151" s="82" t="s">
        <v>238</v>
      </c>
      <c r="D151" s="82" t="e">
        <f>VLOOKUP(C151,$J$3:$N$78,2,FALSE)</f>
        <v>#N/A</v>
      </c>
      <c r="E151" s="126" t="e">
        <f>VLOOKUP(C151,$J$3:$N$78,3,FALSE)</f>
        <v>#N/A</v>
      </c>
      <c r="F151" s="126" t="e">
        <f>VLOOKUP(C151,$J$3:$N$78,4,FALSE)</f>
        <v>#N/A</v>
      </c>
      <c r="G151" s="82" t="e">
        <f>VLOOKUP(C151,$J$3:$N$78,5,FALSE)</f>
        <v>#N/A</v>
      </c>
      <c r="H151" s="82" t="e">
        <f t="shared" si="2"/>
        <v>#N/A</v>
      </c>
    </row>
    <row r="152" hidden="1" spans="1:8">
      <c r="A152" s="82" t="s">
        <v>8</v>
      </c>
      <c r="B152" s="82" t="s">
        <v>232</v>
      </c>
      <c r="C152" s="82" t="s">
        <v>239</v>
      </c>
      <c r="D152" s="82" t="e">
        <f>VLOOKUP(C152,$J$3:$N$78,2,FALSE)</f>
        <v>#N/A</v>
      </c>
      <c r="E152" s="126" t="e">
        <f>VLOOKUP(C152,$J$3:$N$78,3,FALSE)</f>
        <v>#N/A</v>
      </c>
      <c r="F152" s="126" t="e">
        <f>VLOOKUP(C152,$J$3:$N$78,4,FALSE)</f>
        <v>#N/A</v>
      </c>
      <c r="G152" s="82" t="e">
        <f>VLOOKUP(C152,$J$3:$N$78,5,FALSE)</f>
        <v>#N/A</v>
      </c>
      <c r="H152" s="82" t="e">
        <f t="shared" si="2"/>
        <v>#N/A</v>
      </c>
    </row>
    <row r="153" hidden="1" spans="1:8">
      <c r="A153" s="82" t="s">
        <v>8</v>
      </c>
      <c r="B153" s="82" t="s">
        <v>232</v>
      </c>
      <c r="C153" s="82" t="s">
        <v>240</v>
      </c>
      <c r="D153" s="82" t="e">
        <f>VLOOKUP(C153,$J$3:$N$78,2,FALSE)</f>
        <v>#N/A</v>
      </c>
      <c r="E153" s="126" t="e">
        <f>VLOOKUP(C153,$J$3:$N$78,3,FALSE)</f>
        <v>#N/A</v>
      </c>
      <c r="F153" s="126" t="e">
        <f>VLOOKUP(C153,$J$3:$N$78,4,FALSE)</f>
        <v>#N/A</v>
      </c>
      <c r="G153" s="82" t="e">
        <f>VLOOKUP(C153,$J$3:$N$78,5,FALSE)</f>
        <v>#N/A</v>
      </c>
      <c r="H153" s="82" t="e">
        <f t="shared" si="2"/>
        <v>#N/A</v>
      </c>
    </row>
    <row r="154" hidden="1" spans="1:8">
      <c r="A154" s="82" t="s">
        <v>8</v>
      </c>
      <c r="B154" s="82" t="s">
        <v>232</v>
      </c>
      <c r="C154" s="82" t="s">
        <v>241</v>
      </c>
      <c r="D154" s="82" t="e">
        <f>VLOOKUP(C154,$J$3:$N$78,2,FALSE)</f>
        <v>#N/A</v>
      </c>
      <c r="E154" s="126" t="e">
        <f>VLOOKUP(C154,$J$3:$N$78,3,FALSE)</f>
        <v>#N/A</v>
      </c>
      <c r="F154" s="126" t="e">
        <f>VLOOKUP(C154,$J$3:$N$78,4,FALSE)</f>
        <v>#N/A</v>
      </c>
      <c r="G154" s="82" t="e">
        <f>VLOOKUP(C154,$J$3:$N$78,5,FALSE)</f>
        <v>#N/A</v>
      </c>
      <c r="H154" s="82" t="e">
        <f t="shared" si="2"/>
        <v>#N/A</v>
      </c>
    </row>
    <row r="155" hidden="1" spans="1:8">
      <c r="A155" s="82" t="s">
        <v>8</v>
      </c>
      <c r="B155" s="82" t="s">
        <v>232</v>
      </c>
      <c r="C155" s="82" t="s">
        <v>242</v>
      </c>
      <c r="D155" s="82" t="e">
        <f>VLOOKUP(C155,$J$3:$N$78,2,FALSE)</f>
        <v>#N/A</v>
      </c>
      <c r="E155" s="126" t="e">
        <f>VLOOKUP(C155,$J$3:$N$78,3,FALSE)</f>
        <v>#N/A</v>
      </c>
      <c r="F155" s="126" t="e">
        <f>VLOOKUP(C155,$J$3:$N$78,4,FALSE)</f>
        <v>#N/A</v>
      </c>
      <c r="G155" s="82" t="e">
        <f>VLOOKUP(C155,$J$3:$N$78,5,FALSE)</f>
        <v>#N/A</v>
      </c>
      <c r="H155" s="82" t="e">
        <f t="shared" si="2"/>
        <v>#N/A</v>
      </c>
    </row>
    <row r="156" hidden="1" spans="1:8">
      <c r="A156" s="82" t="s">
        <v>8</v>
      </c>
      <c r="B156" s="82" t="s">
        <v>243</v>
      </c>
      <c r="C156" s="82" t="s">
        <v>244</v>
      </c>
      <c r="D156" s="82" t="e">
        <f>VLOOKUP(C156,$J$3:$N$78,2,FALSE)</f>
        <v>#N/A</v>
      </c>
      <c r="E156" s="126" t="e">
        <f>VLOOKUP(C156,$J$3:$N$78,3,FALSE)</f>
        <v>#N/A</v>
      </c>
      <c r="F156" s="126" t="e">
        <f>VLOOKUP(C156,$J$3:$N$78,4,FALSE)</f>
        <v>#N/A</v>
      </c>
      <c r="G156" s="82" t="e">
        <f>VLOOKUP(C156,$J$3:$N$78,5,FALSE)</f>
        <v>#N/A</v>
      </c>
      <c r="H156" s="82" t="e">
        <f t="shared" si="2"/>
        <v>#N/A</v>
      </c>
    </row>
    <row r="157" hidden="1" spans="1:8">
      <c r="A157" s="82" t="s">
        <v>8</v>
      </c>
      <c r="B157" s="82" t="s">
        <v>243</v>
      </c>
      <c r="C157" s="82" t="s">
        <v>245</v>
      </c>
      <c r="D157" s="82" t="e">
        <f>VLOOKUP(C157,$J$3:$N$78,2,FALSE)</f>
        <v>#N/A</v>
      </c>
      <c r="E157" s="126" t="e">
        <f>VLOOKUP(C157,$J$3:$N$78,3,FALSE)</f>
        <v>#N/A</v>
      </c>
      <c r="F157" s="126" t="e">
        <f>VLOOKUP(C157,$J$3:$N$78,4,FALSE)</f>
        <v>#N/A</v>
      </c>
      <c r="G157" s="82" t="e">
        <f>VLOOKUP(C157,$J$3:$N$78,5,FALSE)</f>
        <v>#N/A</v>
      </c>
      <c r="H157" s="82" t="e">
        <f t="shared" si="2"/>
        <v>#N/A</v>
      </c>
    </row>
    <row r="158" hidden="1" spans="1:8">
      <c r="A158" s="82" t="s">
        <v>8</v>
      </c>
      <c r="B158" s="82" t="s">
        <v>243</v>
      </c>
      <c r="C158" s="82" t="s">
        <v>246</v>
      </c>
      <c r="D158" s="82" t="e">
        <f>VLOOKUP(C158,$J$3:$N$78,2,FALSE)</f>
        <v>#N/A</v>
      </c>
      <c r="E158" s="126" t="e">
        <f>VLOOKUP(C158,$J$3:$N$78,3,FALSE)</f>
        <v>#N/A</v>
      </c>
      <c r="F158" s="126" t="e">
        <f>VLOOKUP(C158,$J$3:$N$78,4,FALSE)</f>
        <v>#N/A</v>
      </c>
      <c r="G158" s="82" t="e">
        <f>VLOOKUP(C158,$J$3:$N$78,5,FALSE)</f>
        <v>#N/A</v>
      </c>
      <c r="H158" s="82" t="e">
        <f t="shared" si="2"/>
        <v>#N/A</v>
      </c>
    </row>
    <row r="159" hidden="1" spans="1:8">
      <c r="A159" s="82" t="s">
        <v>8</v>
      </c>
      <c r="B159" s="82" t="s">
        <v>243</v>
      </c>
      <c r="C159" s="82" t="s">
        <v>247</v>
      </c>
      <c r="D159" s="82" t="e">
        <f>VLOOKUP(C159,$J$3:$N$78,2,FALSE)</f>
        <v>#N/A</v>
      </c>
      <c r="E159" s="126" t="e">
        <f>VLOOKUP(C159,$J$3:$N$78,3,FALSE)</f>
        <v>#N/A</v>
      </c>
      <c r="F159" s="126" t="e">
        <f>VLOOKUP(C159,$J$3:$N$78,4,FALSE)</f>
        <v>#N/A</v>
      </c>
      <c r="G159" s="82" t="e">
        <f>VLOOKUP(C159,$J$3:$N$78,5,FALSE)</f>
        <v>#N/A</v>
      </c>
      <c r="H159" s="82" t="e">
        <f t="shared" si="2"/>
        <v>#N/A</v>
      </c>
    </row>
    <row r="160" hidden="1" spans="1:8">
      <c r="A160" s="82" t="s">
        <v>8</v>
      </c>
      <c r="B160" s="82" t="s">
        <v>243</v>
      </c>
      <c r="C160" s="82" t="s">
        <v>248</v>
      </c>
      <c r="D160" s="82" t="e">
        <f>VLOOKUP(C160,$J$3:$N$78,2,FALSE)</f>
        <v>#N/A</v>
      </c>
      <c r="E160" s="126" t="e">
        <f>VLOOKUP(C160,$J$3:$N$78,3,FALSE)</f>
        <v>#N/A</v>
      </c>
      <c r="F160" s="126" t="e">
        <f>VLOOKUP(C160,$J$3:$N$78,4,FALSE)</f>
        <v>#N/A</v>
      </c>
      <c r="G160" s="82" t="e">
        <f>VLOOKUP(C160,$J$3:$N$78,5,FALSE)</f>
        <v>#N/A</v>
      </c>
      <c r="H160" s="82" t="e">
        <f t="shared" si="2"/>
        <v>#N/A</v>
      </c>
    </row>
    <row r="161" hidden="1" spans="1:8">
      <c r="A161" s="82" t="s">
        <v>8</v>
      </c>
      <c r="B161" s="82" t="s">
        <v>243</v>
      </c>
      <c r="C161" s="82" t="s">
        <v>249</v>
      </c>
      <c r="D161" s="82" t="e">
        <f>VLOOKUP(C161,$J$3:$N$78,2,FALSE)</f>
        <v>#N/A</v>
      </c>
      <c r="E161" s="126" t="e">
        <f>VLOOKUP(C161,$J$3:$N$78,3,FALSE)</f>
        <v>#N/A</v>
      </c>
      <c r="F161" s="126" t="e">
        <f>VLOOKUP(C161,$J$3:$N$78,4,FALSE)</f>
        <v>#N/A</v>
      </c>
      <c r="G161" s="82" t="e">
        <f>VLOOKUP(C161,$J$3:$N$78,5,FALSE)</f>
        <v>#N/A</v>
      </c>
      <c r="H161" s="82" t="e">
        <f t="shared" si="2"/>
        <v>#N/A</v>
      </c>
    </row>
    <row r="162" hidden="1" spans="1:8">
      <c r="A162" s="82" t="s">
        <v>8</v>
      </c>
      <c r="B162" s="82" t="s">
        <v>243</v>
      </c>
      <c r="C162" s="82" t="s">
        <v>250</v>
      </c>
      <c r="D162" s="82" t="e">
        <f>VLOOKUP(C162,$J$3:$N$78,2,FALSE)</f>
        <v>#N/A</v>
      </c>
      <c r="E162" s="126" t="e">
        <f>VLOOKUP(C162,$J$3:$N$78,3,FALSE)</f>
        <v>#N/A</v>
      </c>
      <c r="F162" s="126" t="e">
        <f>VLOOKUP(C162,$J$3:$N$78,4,FALSE)</f>
        <v>#N/A</v>
      </c>
      <c r="G162" s="82" t="e">
        <f>VLOOKUP(C162,$J$3:$N$78,5,FALSE)</f>
        <v>#N/A</v>
      </c>
      <c r="H162" s="82" t="e">
        <f t="shared" si="2"/>
        <v>#N/A</v>
      </c>
    </row>
    <row r="163" hidden="1" spans="1:8">
      <c r="A163" s="82" t="s">
        <v>8</v>
      </c>
      <c r="B163" s="82" t="s">
        <v>251</v>
      </c>
      <c r="C163" s="82" t="s">
        <v>252</v>
      </c>
      <c r="D163" s="82" t="e">
        <f>VLOOKUP(C163,$J$3:$N$78,2,FALSE)</f>
        <v>#N/A</v>
      </c>
      <c r="E163" s="126" t="e">
        <f>VLOOKUP(C163,$J$3:$N$78,3,FALSE)</f>
        <v>#N/A</v>
      </c>
      <c r="F163" s="126" t="e">
        <f>VLOOKUP(C163,$J$3:$N$78,4,FALSE)</f>
        <v>#N/A</v>
      </c>
      <c r="G163" s="82" t="e">
        <f>VLOOKUP(C163,$J$3:$N$78,5,FALSE)</f>
        <v>#N/A</v>
      </c>
      <c r="H163" s="82" t="e">
        <f t="shared" si="2"/>
        <v>#N/A</v>
      </c>
    </row>
    <row r="164" hidden="1" spans="1:8">
      <c r="A164" s="82" t="s">
        <v>8</v>
      </c>
      <c r="B164" s="82" t="s">
        <v>251</v>
      </c>
      <c r="C164" s="82" t="s">
        <v>253</v>
      </c>
      <c r="D164" s="82" t="e">
        <f>VLOOKUP(C164,$J$3:$N$78,2,FALSE)</f>
        <v>#N/A</v>
      </c>
      <c r="E164" s="126" t="e">
        <f>VLOOKUP(C164,$J$3:$N$78,3,FALSE)</f>
        <v>#N/A</v>
      </c>
      <c r="F164" s="126" t="e">
        <f>VLOOKUP(C164,$J$3:$N$78,4,FALSE)</f>
        <v>#N/A</v>
      </c>
      <c r="G164" s="82" t="e">
        <f>VLOOKUP(C164,$J$3:$N$78,5,FALSE)</f>
        <v>#N/A</v>
      </c>
      <c r="H164" s="82" t="e">
        <f t="shared" si="2"/>
        <v>#N/A</v>
      </c>
    </row>
    <row r="165" hidden="1" spans="1:8">
      <c r="A165" s="82" t="s">
        <v>8</v>
      </c>
      <c r="B165" s="82" t="s">
        <v>251</v>
      </c>
      <c r="C165" s="82" t="s">
        <v>254</v>
      </c>
      <c r="D165" s="82" t="e">
        <f>VLOOKUP(C165,$J$3:$N$78,2,FALSE)</f>
        <v>#N/A</v>
      </c>
      <c r="E165" s="126" t="e">
        <f>VLOOKUP(C165,$J$3:$N$78,3,FALSE)</f>
        <v>#N/A</v>
      </c>
      <c r="F165" s="126" t="e">
        <f>VLOOKUP(C165,$J$3:$N$78,4,FALSE)</f>
        <v>#N/A</v>
      </c>
      <c r="G165" s="82" t="e">
        <f>VLOOKUP(C165,$J$3:$N$78,5,FALSE)</f>
        <v>#N/A</v>
      </c>
      <c r="H165" s="82" t="e">
        <f t="shared" si="2"/>
        <v>#N/A</v>
      </c>
    </row>
    <row r="166" hidden="1" spans="1:8">
      <c r="A166" s="82" t="s">
        <v>8</v>
      </c>
      <c r="B166" s="82" t="s">
        <v>251</v>
      </c>
      <c r="C166" s="82" t="s">
        <v>255</v>
      </c>
      <c r="D166" s="82" t="e">
        <f>VLOOKUP(C166,$J$3:$N$78,2,FALSE)</f>
        <v>#N/A</v>
      </c>
      <c r="E166" s="126" t="e">
        <f>VLOOKUP(C166,$J$3:$N$78,3,FALSE)</f>
        <v>#N/A</v>
      </c>
      <c r="F166" s="126" t="e">
        <f>VLOOKUP(C166,$J$3:$N$78,4,FALSE)</f>
        <v>#N/A</v>
      </c>
      <c r="G166" s="82" t="e">
        <f>VLOOKUP(C166,$J$3:$N$78,5,FALSE)</f>
        <v>#N/A</v>
      </c>
      <c r="H166" s="82" t="e">
        <f t="shared" si="2"/>
        <v>#N/A</v>
      </c>
    </row>
    <row r="167" hidden="1" spans="1:8">
      <c r="A167" s="82" t="s">
        <v>8</v>
      </c>
      <c r="B167" s="82" t="s">
        <v>251</v>
      </c>
      <c r="C167" s="82" t="s">
        <v>256</v>
      </c>
      <c r="D167" s="82" t="e">
        <f>VLOOKUP(C167,$J$3:$N$78,2,FALSE)</f>
        <v>#N/A</v>
      </c>
      <c r="E167" s="126" t="e">
        <f>VLOOKUP(C167,$J$3:$N$78,3,FALSE)</f>
        <v>#N/A</v>
      </c>
      <c r="F167" s="126" t="e">
        <f>VLOOKUP(C167,$J$3:$N$78,4,FALSE)</f>
        <v>#N/A</v>
      </c>
      <c r="G167" s="82" t="e">
        <f>VLOOKUP(C167,$J$3:$N$78,5,FALSE)</f>
        <v>#N/A</v>
      </c>
      <c r="H167" s="82" t="e">
        <f t="shared" si="2"/>
        <v>#N/A</v>
      </c>
    </row>
    <row r="168" hidden="1" spans="1:8">
      <c r="A168" s="82" t="s">
        <v>8</v>
      </c>
      <c r="B168" s="82" t="s">
        <v>251</v>
      </c>
      <c r="C168" s="82" t="s">
        <v>257</v>
      </c>
      <c r="D168" s="82" t="e">
        <f>VLOOKUP(C168,$J$3:$N$78,2,FALSE)</f>
        <v>#N/A</v>
      </c>
      <c r="E168" s="126" t="e">
        <f>VLOOKUP(C168,$J$3:$N$78,3,FALSE)</f>
        <v>#N/A</v>
      </c>
      <c r="F168" s="126" t="e">
        <f>VLOOKUP(C168,$J$3:$N$78,4,FALSE)</f>
        <v>#N/A</v>
      </c>
      <c r="G168" s="82" t="e">
        <f>VLOOKUP(C168,$J$3:$N$78,5,FALSE)</f>
        <v>#N/A</v>
      </c>
      <c r="H168" s="82" t="e">
        <f t="shared" si="2"/>
        <v>#N/A</v>
      </c>
    </row>
    <row r="169" hidden="1" spans="1:8">
      <c r="A169" s="82" t="s">
        <v>8</v>
      </c>
      <c r="B169" s="82" t="s">
        <v>251</v>
      </c>
      <c r="C169" s="82" t="s">
        <v>258</v>
      </c>
      <c r="D169" s="82" t="e">
        <f>VLOOKUP(C169,$J$3:$N$78,2,FALSE)</f>
        <v>#N/A</v>
      </c>
      <c r="E169" s="126" t="e">
        <f>VLOOKUP(C169,$J$3:$N$78,3,FALSE)</f>
        <v>#N/A</v>
      </c>
      <c r="F169" s="126" t="e">
        <f>VLOOKUP(C169,$J$3:$N$78,4,FALSE)</f>
        <v>#N/A</v>
      </c>
      <c r="G169" s="82" t="e">
        <f>VLOOKUP(C169,$J$3:$N$78,5,FALSE)</f>
        <v>#N/A</v>
      </c>
      <c r="H169" s="82" t="e">
        <f t="shared" si="2"/>
        <v>#N/A</v>
      </c>
    </row>
    <row r="170" hidden="1" spans="1:8">
      <c r="A170" s="82" t="s">
        <v>8</v>
      </c>
      <c r="B170" s="82" t="s">
        <v>251</v>
      </c>
      <c r="C170" s="82" t="s">
        <v>259</v>
      </c>
      <c r="D170" s="82" t="e">
        <f>VLOOKUP(C170,$J$3:$N$78,2,FALSE)</f>
        <v>#N/A</v>
      </c>
      <c r="E170" s="126" t="e">
        <f>VLOOKUP(C170,$J$3:$N$78,3,FALSE)</f>
        <v>#N/A</v>
      </c>
      <c r="F170" s="126" t="e">
        <f>VLOOKUP(C170,$J$3:$N$78,4,FALSE)</f>
        <v>#N/A</v>
      </c>
      <c r="G170" s="82" t="e">
        <f>VLOOKUP(C170,$J$3:$N$78,5,FALSE)</f>
        <v>#N/A</v>
      </c>
      <c r="H170" s="82" t="e">
        <f t="shared" si="2"/>
        <v>#N/A</v>
      </c>
    </row>
    <row r="171" hidden="1" spans="1:8">
      <c r="A171" s="82" t="s">
        <v>8</v>
      </c>
      <c r="B171" s="82" t="s">
        <v>251</v>
      </c>
      <c r="C171" s="82" t="s">
        <v>260</v>
      </c>
      <c r="D171" s="82" t="e">
        <f>VLOOKUP(C171,$J$3:$N$78,2,FALSE)</f>
        <v>#N/A</v>
      </c>
      <c r="E171" s="126" t="e">
        <f>VLOOKUP(C171,$J$3:$N$78,3,FALSE)</f>
        <v>#N/A</v>
      </c>
      <c r="F171" s="126" t="e">
        <f>VLOOKUP(C171,$J$3:$N$78,4,FALSE)</f>
        <v>#N/A</v>
      </c>
      <c r="G171" s="82" t="e">
        <f>VLOOKUP(C171,$J$3:$N$78,5,FALSE)</f>
        <v>#N/A</v>
      </c>
      <c r="H171" s="82" t="e">
        <f t="shared" si="2"/>
        <v>#N/A</v>
      </c>
    </row>
    <row r="172" hidden="1" spans="1:8">
      <c r="A172" s="82" t="s">
        <v>8</v>
      </c>
      <c r="B172" s="82" t="s">
        <v>251</v>
      </c>
      <c r="C172" s="82" t="s">
        <v>261</v>
      </c>
      <c r="D172" s="82" t="e">
        <f>VLOOKUP(C172,$J$3:$N$78,2,FALSE)</f>
        <v>#N/A</v>
      </c>
      <c r="E172" s="126" t="e">
        <f>VLOOKUP(C172,$J$3:$N$78,3,FALSE)</f>
        <v>#N/A</v>
      </c>
      <c r="F172" s="126" t="e">
        <f>VLOOKUP(C172,$J$3:$N$78,4,FALSE)</f>
        <v>#N/A</v>
      </c>
      <c r="G172" s="82" t="e">
        <f>VLOOKUP(C172,$J$3:$N$78,5,FALSE)</f>
        <v>#N/A</v>
      </c>
      <c r="H172" s="82" t="e">
        <f t="shared" si="2"/>
        <v>#N/A</v>
      </c>
    </row>
    <row r="173" hidden="1" spans="1:8">
      <c r="A173" s="82" t="s">
        <v>8</v>
      </c>
      <c r="B173" s="82" t="s">
        <v>251</v>
      </c>
      <c r="C173" s="82" t="s">
        <v>262</v>
      </c>
      <c r="D173" s="82" t="e">
        <f>VLOOKUP(C173,$J$3:$N$78,2,FALSE)</f>
        <v>#N/A</v>
      </c>
      <c r="E173" s="126" t="e">
        <f>VLOOKUP(C173,$J$3:$N$78,3,FALSE)</f>
        <v>#N/A</v>
      </c>
      <c r="F173" s="126" t="e">
        <f>VLOOKUP(C173,$J$3:$N$78,4,FALSE)</f>
        <v>#N/A</v>
      </c>
      <c r="G173" s="82" t="e">
        <f>VLOOKUP(C173,$J$3:$N$78,5,FALSE)</f>
        <v>#N/A</v>
      </c>
      <c r="H173" s="82" t="e">
        <f t="shared" si="2"/>
        <v>#N/A</v>
      </c>
    </row>
    <row r="174" hidden="1" spans="1:8">
      <c r="A174" s="82" t="s">
        <v>8</v>
      </c>
      <c r="B174" s="82" t="s">
        <v>251</v>
      </c>
      <c r="C174" s="82" t="s">
        <v>263</v>
      </c>
      <c r="D174" s="82" t="e">
        <f>VLOOKUP(C174,$J$3:$N$78,2,FALSE)</f>
        <v>#N/A</v>
      </c>
      <c r="E174" s="126" t="e">
        <f>VLOOKUP(C174,$J$3:$N$78,3,FALSE)</f>
        <v>#N/A</v>
      </c>
      <c r="F174" s="126" t="e">
        <f>VLOOKUP(C174,$J$3:$N$78,4,FALSE)</f>
        <v>#N/A</v>
      </c>
      <c r="G174" s="82" t="e">
        <f>VLOOKUP(C174,$J$3:$N$78,5,FALSE)</f>
        <v>#N/A</v>
      </c>
      <c r="H174" s="82" t="e">
        <f t="shared" si="2"/>
        <v>#N/A</v>
      </c>
    </row>
    <row r="175" hidden="1" spans="1:8">
      <c r="A175" s="82" t="s">
        <v>8</v>
      </c>
      <c r="B175" s="82" t="s">
        <v>264</v>
      </c>
      <c r="C175" s="82" t="s">
        <v>265</v>
      </c>
      <c r="D175" s="82" t="e">
        <f>VLOOKUP(C175,$J$3:$N$78,2,FALSE)</f>
        <v>#N/A</v>
      </c>
      <c r="E175" s="126" t="e">
        <f>VLOOKUP(C175,$J$3:$N$78,3,FALSE)</f>
        <v>#N/A</v>
      </c>
      <c r="F175" s="126" t="e">
        <f>VLOOKUP(C175,$J$3:$N$78,4,FALSE)</f>
        <v>#N/A</v>
      </c>
      <c r="G175" s="82" t="e">
        <f>VLOOKUP(C175,$J$3:$N$78,5,FALSE)</f>
        <v>#N/A</v>
      </c>
      <c r="H175" s="82" t="e">
        <f t="shared" si="2"/>
        <v>#N/A</v>
      </c>
    </row>
    <row r="176" hidden="1" spans="1:8">
      <c r="A176" s="82" t="s">
        <v>8</v>
      </c>
      <c r="B176" s="82" t="s">
        <v>264</v>
      </c>
      <c r="C176" s="82" t="s">
        <v>266</v>
      </c>
      <c r="D176" s="82" t="e">
        <f>VLOOKUP(C176,$J$3:$N$78,2,FALSE)</f>
        <v>#N/A</v>
      </c>
      <c r="E176" s="126" t="e">
        <f>VLOOKUP(C176,$J$3:$N$78,3,FALSE)</f>
        <v>#N/A</v>
      </c>
      <c r="F176" s="126" t="e">
        <f>VLOOKUP(C176,$J$3:$N$78,4,FALSE)</f>
        <v>#N/A</v>
      </c>
      <c r="G176" s="82" t="e">
        <f>VLOOKUP(C176,$J$3:$N$78,5,FALSE)</f>
        <v>#N/A</v>
      </c>
      <c r="H176" s="82" t="e">
        <f t="shared" si="2"/>
        <v>#N/A</v>
      </c>
    </row>
    <row r="177" hidden="1" spans="1:8">
      <c r="A177" s="82" t="s">
        <v>8</v>
      </c>
      <c r="B177" s="82" t="s">
        <v>264</v>
      </c>
      <c r="C177" s="82" t="s">
        <v>267</v>
      </c>
      <c r="D177" s="82" t="e">
        <f>VLOOKUP(C177,$J$3:$N$78,2,FALSE)</f>
        <v>#N/A</v>
      </c>
      <c r="E177" s="126" t="e">
        <f>VLOOKUP(C177,$J$3:$N$78,3,FALSE)</f>
        <v>#N/A</v>
      </c>
      <c r="F177" s="126" t="e">
        <f>VLOOKUP(C177,$J$3:$N$78,4,FALSE)</f>
        <v>#N/A</v>
      </c>
      <c r="G177" s="82" t="e">
        <f>VLOOKUP(C177,$J$3:$N$78,5,FALSE)</f>
        <v>#N/A</v>
      </c>
      <c r="H177" s="82" t="e">
        <f t="shared" si="2"/>
        <v>#N/A</v>
      </c>
    </row>
    <row r="178" hidden="1" spans="1:8">
      <c r="A178" s="82" t="s">
        <v>8</v>
      </c>
      <c r="B178" s="82" t="s">
        <v>264</v>
      </c>
      <c r="C178" s="82" t="s">
        <v>268</v>
      </c>
      <c r="D178" s="82" t="e">
        <f>VLOOKUP(C178,$J$3:$N$78,2,FALSE)</f>
        <v>#N/A</v>
      </c>
      <c r="E178" s="126" t="e">
        <f>VLOOKUP(C178,$J$3:$N$78,3,FALSE)</f>
        <v>#N/A</v>
      </c>
      <c r="F178" s="126" t="e">
        <f>VLOOKUP(C178,$J$3:$N$78,4,FALSE)</f>
        <v>#N/A</v>
      </c>
      <c r="G178" s="82" t="e">
        <f>VLOOKUP(C178,$J$3:$N$78,5,FALSE)</f>
        <v>#N/A</v>
      </c>
      <c r="H178" s="82" t="e">
        <f t="shared" si="2"/>
        <v>#N/A</v>
      </c>
    </row>
    <row r="179" hidden="1" spans="1:8">
      <c r="A179" s="82" t="s">
        <v>8</v>
      </c>
      <c r="B179" s="82" t="s">
        <v>264</v>
      </c>
      <c r="C179" s="82" t="s">
        <v>269</v>
      </c>
      <c r="D179" s="82" t="e">
        <f>VLOOKUP(C179,$J$3:$N$78,2,FALSE)</f>
        <v>#N/A</v>
      </c>
      <c r="E179" s="126" t="e">
        <f>VLOOKUP(C179,$J$3:$N$78,3,FALSE)</f>
        <v>#N/A</v>
      </c>
      <c r="F179" s="126" t="e">
        <f>VLOOKUP(C179,$J$3:$N$78,4,FALSE)</f>
        <v>#N/A</v>
      </c>
      <c r="G179" s="82" t="e">
        <f>VLOOKUP(C179,$J$3:$N$78,5,FALSE)</f>
        <v>#N/A</v>
      </c>
      <c r="H179" s="82" t="e">
        <f t="shared" si="2"/>
        <v>#N/A</v>
      </c>
    </row>
    <row r="180" hidden="1" spans="1:8">
      <c r="A180" s="82" t="s">
        <v>8</v>
      </c>
      <c r="B180" s="82" t="s">
        <v>270</v>
      </c>
      <c r="C180" s="82" t="s">
        <v>271</v>
      </c>
      <c r="D180" s="82" t="e">
        <f>VLOOKUP(C180,$J$3:$N$78,2,FALSE)</f>
        <v>#N/A</v>
      </c>
      <c r="E180" s="126" t="e">
        <f>VLOOKUP(C180,$J$3:$N$78,3,FALSE)</f>
        <v>#N/A</v>
      </c>
      <c r="F180" s="126" t="e">
        <f>VLOOKUP(C180,$J$3:$N$78,4,FALSE)</f>
        <v>#N/A</v>
      </c>
      <c r="G180" s="82" t="e">
        <f>VLOOKUP(C180,$J$3:$N$78,5,FALSE)</f>
        <v>#N/A</v>
      </c>
      <c r="H180" s="82" t="e">
        <f t="shared" si="2"/>
        <v>#N/A</v>
      </c>
    </row>
    <row r="181" hidden="1" spans="1:8">
      <c r="A181" s="82" t="s">
        <v>8</v>
      </c>
      <c r="B181" s="82" t="s">
        <v>270</v>
      </c>
      <c r="C181" s="82" t="s">
        <v>272</v>
      </c>
      <c r="D181" s="82" t="e">
        <f>VLOOKUP(C181,$J$3:$N$78,2,FALSE)</f>
        <v>#N/A</v>
      </c>
      <c r="E181" s="126" t="e">
        <f>VLOOKUP(C181,$J$3:$N$78,3,FALSE)</f>
        <v>#N/A</v>
      </c>
      <c r="F181" s="126" t="e">
        <f>VLOOKUP(C181,$J$3:$N$78,4,FALSE)</f>
        <v>#N/A</v>
      </c>
      <c r="G181" s="82" t="e">
        <f>VLOOKUP(C181,$J$3:$N$78,5,FALSE)</f>
        <v>#N/A</v>
      </c>
      <c r="H181" s="82" t="e">
        <f t="shared" si="2"/>
        <v>#N/A</v>
      </c>
    </row>
    <row r="182" hidden="1" spans="1:8">
      <c r="A182" s="82" t="s">
        <v>8</v>
      </c>
      <c r="B182" s="82" t="s">
        <v>270</v>
      </c>
      <c r="C182" s="82" t="s">
        <v>273</v>
      </c>
      <c r="D182" s="82" t="e">
        <f>VLOOKUP(C182,$J$3:$N$78,2,FALSE)</f>
        <v>#N/A</v>
      </c>
      <c r="E182" s="126" t="e">
        <f>VLOOKUP(C182,$J$3:$N$78,3,FALSE)</f>
        <v>#N/A</v>
      </c>
      <c r="F182" s="126" t="e">
        <f>VLOOKUP(C182,$J$3:$N$78,4,FALSE)</f>
        <v>#N/A</v>
      </c>
      <c r="G182" s="82" t="e">
        <f>VLOOKUP(C182,$J$3:$N$78,5,FALSE)</f>
        <v>#N/A</v>
      </c>
      <c r="H182" s="82" t="e">
        <f t="shared" si="2"/>
        <v>#N/A</v>
      </c>
    </row>
    <row r="183" hidden="1" spans="1:8">
      <c r="A183" s="82" t="s">
        <v>8</v>
      </c>
      <c r="B183" s="82" t="s">
        <v>270</v>
      </c>
      <c r="C183" s="82" t="s">
        <v>274</v>
      </c>
      <c r="D183" s="82" t="e">
        <f>VLOOKUP(C183,$J$3:$N$78,2,FALSE)</f>
        <v>#N/A</v>
      </c>
      <c r="E183" s="126" t="e">
        <f>VLOOKUP(C183,$J$3:$N$78,3,FALSE)</f>
        <v>#N/A</v>
      </c>
      <c r="F183" s="126" t="e">
        <f>VLOOKUP(C183,$J$3:$N$78,4,FALSE)</f>
        <v>#N/A</v>
      </c>
      <c r="G183" s="82" t="e">
        <f>VLOOKUP(C183,$J$3:$N$78,5,FALSE)</f>
        <v>#N/A</v>
      </c>
      <c r="H183" s="82" t="e">
        <f t="shared" si="2"/>
        <v>#N/A</v>
      </c>
    </row>
    <row r="184" hidden="1" spans="1:8">
      <c r="A184" s="82" t="s">
        <v>8</v>
      </c>
      <c r="B184" s="82" t="s">
        <v>270</v>
      </c>
      <c r="C184" s="82" t="s">
        <v>275</v>
      </c>
      <c r="D184" s="82" t="e">
        <f>VLOOKUP(C184,$J$3:$N$78,2,FALSE)</f>
        <v>#N/A</v>
      </c>
      <c r="E184" s="126" t="e">
        <f>VLOOKUP(C184,$J$3:$N$78,3,FALSE)</f>
        <v>#N/A</v>
      </c>
      <c r="F184" s="126" t="e">
        <f>VLOOKUP(C184,$J$3:$N$78,4,FALSE)</f>
        <v>#N/A</v>
      </c>
      <c r="G184" s="82" t="e">
        <f>VLOOKUP(C184,$J$3:$N$78,5,FALSE)</f>
        <v>#N/A</v>
      </c>
      <c r="H184" s="82" t="e">
        <f t="shared" si="2"/>
        <v>#N/A</v>
      </c>
    </row>
    <row r="185" hidden="1" spans="1:8">
      <c r="A185" s="82" t="s">
        <v>8</v>
      </c>
      <c r="B185" s="82" t="s">
        <v>270</v>
      </c>
      <c r="C185" s="82" t="s">
        <v>276</v>
      </c>
      <c r="D185" s="82" t="e">
        <f>VLOOKUP(C185,$J$3:$N$78,2,FALSE)</f>
        <v>#N/A</v>
      </c>
      <c r="E185" s="126" t="e">
        <f>VLOOKUP(C185,$J$3:$N$78,3,FALSE)</f>
        <v>#N/A</v>
      </c>
      <c r="F185" s="126" t="e">
        <f>VLOOKUP(C185,$J$3:$N$78,4,FALSE)</f>
        <v>#N/A</v>
      </c>
      <c r="G185" s="82" t="e">
        <f>VLOOKUP(C185,$J$3:$N$78,5,FALSE)</f>
        <v>#N/A</v>
      </c>
      <c r="H185" s="82" t="e">
        <f t="shared" si="2"/>
        <v>#N/A</v>
      </c>
    </row>
    <row r="186" hidden="1" spans="1:8">
      <c r="A186" s="82" t="s">
        <v>8</v>
      </c>
      <c r="B186" s="82" t="s">
        <v>270</v>
      </c>
      <c r="C186" s="82" t="s">
        <v>277</v>
      </c>
      <c r="D186" s="82" t="e">
        <f>VLOOKUP(C186,$J$3:$N$78,2,FALSE)</f>
        <v>#N/A</v>
      </c>
      <c r="E186" s="126" t="e">
        <f>VLOOKUP(C186,$J$3:$N$78,3,FALSE)</f>
        <v>#N/A</v>
      </c>
      <c r="F186" s="126" t="e">
        <f>VLOOKUP(C186,$J$3:$N$78,4,FALSE)</f>
        <v>#N/A</v>
      </c>
      <c r="G186" s="82" t="e">
        <f>VLOOKUP(C186,$J$3:$N$78,5,FALSE)</f>
        <v>#N/A</v>
      </c>
      <c r="H186" s="82" t="e">
        <f t="shared" si="2"/>
        <v>#N/A</v>
      </c>
    </row>
    <row r="187" hidden="1" spans="1:8">
      <c r="A187" s="82" t="s">
        <v>8</v>
      </c>
      <c r="B187" s="82" t="s">
        <v>270</v>
      </c>
      <c r="C187" s="82" t="s">
        <v>278</v>
      </c>
      <c r="D187" s="82" t="e">
        <f>VLOOKUP(C187,$J$3:$N$78,2,FALSE)</f>
        <v>#N/A</v>
      </c>
      <c r="E187" s="126" t="e">
        <f>VLOOKUP(C187,$J$3:$N$78,3,FALSE)</f>
        <v>#N/A</v>
      </c>
      <c r="F187" s="126" t="e">
        <f>VLOOKUP(C187,$J$3:$N$78,4,FALSE)</f>
        <v>#N/A</v>
      </c>
      <c r="G187" s="82" t="e">
        <f>VLOOKUP(C187,$J$3:$N$78,5,FALSE)</f>
        <v>#N/A</v>
      </c>
      <c r="H187" s="82" t="e">
        <f t="shared" si="2"/>
        <v>#N/A</v>
      </c>
    </row>
    <row r="188" hidden="1" spans="1:8">
      <c r="A188" s="82" t="s">
        <v>8</v>
      </c>
      <c r="B188" s="82" t="s">
        <v>270</v>
      </c>
      <c r="C188" s="82" t="s">
        <v>279</v>
      </c>
      <c r="D188" s="82" t="e">
        <f>VLOOKUP(C188,$J$3:$N$78,2,FALSE)</f>
        <v>#N/A</v>
      </c>
      <c r="E188" s="126" t="e">
        <f>VLOOKUP(C188,$J$3:$N$78,3,FALSE)</f>
        <v>#N/A</v>
      </c>
      <c r="F188" s="126" t="e">
        <f>VLOOKUP(C188,$J$3:$N$78,4,FALSE)</f>
        <v>#N/A</v>
      </c>
      <c r="G188" s="82" t="e">
        <f>VLOOKUP(C188,$J$3:$N$78,5,FALSE)</f>
        <v>#N/A</v>
      </c>
      <c r="H188" s="82" t="e">
        <f t="shared" si="2"/>
        <v>#N/A</v>
      </c>
    </row>
    <row r="189" hidden="1" spans="1:8">
      <c r="A189" s="82" t="s">
        <v>8</v>
      </c>
      <c r="B189" s="82" t="s">
        <v>280</v>
      </c>
      <c r="C189" s="82" t="s">
        <v>281</v>
      </c>
      <c r="D189" s="82" t="e">
        <f>VLOOKUP(C189,$J$3:$N$78,2,FALSE)</f>
        <v>#N/A</v>
      </c>
      <c r="E189" s="126" t="e">
        <f>VLOOKUP(C189,$J$3:$N$78,3,FALSE)</f>
        <v>#N/A</v>
      </c>
      <c r="F189" s="126" t="e">
        <f>VLOOKUP(C189,$J$3:$N$78,4,FALSE)</f>
        <v>#N/A</v>
      </c>
      <c r="G189" s="82" t="e">
        <f>VLOOKUP(C189,$J$3:$N$78,5,FALSE)</f>
        <v>#N/A</v>
      </c>
      <c r="H189" s="82" t="e">
        <f t="shared" si="2"/>
        <v>#N/A</v>
      </c>
    </row>
    <row r="190" hidden="1" spans="1:8">
      <c r="A190" s="82" t="s">
        <v>8</v>
      </c>
      <c r="B190" s="82" t="s">
        <v>280</v>
      </c>
      <c r="C190" s="82" t="s">
        <v>282</v>
      </c>
      <c r="D190" s="82" t="e">
        <f>VLOOKUP(C190,$J$3:$N$78,2,FALSE)</f>
        <v>#N/A</v>
      </c>
      <c r="E190" s="126" t="e">
        <f>VLOOKUP(C190,$J$3:$N$78,3,FALSE)</f>
        <v>#N/A</v>
      </c>
      <c r="F190" s="126" t="e">
        <f>VLOOKUP(C190,$J$3:$N$78,4,FALSE)</f>
        <v>#N/A</v>
      </c>
      <c r="G190" s="82" t="e">
        <f>VLOOKUP(C190,$J$3:$N$78,5,FALSE)</f>
        <v>#N/A</v>
      </c>
      <c r="H190" s="82" t="e">
        <f t="shared" si="2"/>
        <v>#N/A</v>
      </c>
    </row>
    <row r="191" hidden="1" spans="1:8">
      <c r="A191" s="82" t="s">
        <v>8</v>
      </c>
      <c r="B191" s="82" t="s">
        <v>280</v>
      </c>
      <c r="C191" s="82" t="s">
        <v>283</v>
      </c>
      <c r="D191" s="82" t="e">
        <f>VLOOKUP(C191,$J$3:$N$78,2,FALSE)</f>
        <v>#N/A</v>
      </c>
      <c r="E191" s="126" t="e">
        <f>VLOOKUP(C191,$J$3:$N$78,3,FALSE)</f>
        <v>#N/A</v>
      </c>
      <c r="F191" s="126" t="e">
        <f>VLOOKUP(C191,$J$3:$N$78,4,FALSE)</f>
        <v>#N/A</v>
      </c>
      <c r="G191" s="82" t="e">
        <f>VLOOKUP(C191,$J$3:$N$78,5,FALSE)</f>
        <v>#N/A</v>
      </c>
      <c r="H191" s="82" t="e">
        <f t="shared" si="2"/>
        <v>#N/A</v>
      </c>
    </row>
    <row r="192" hidden="1" spans="1:8">
      <c r="A192" s="82" t="s">
        <v>8</v>
      </c>
      <c r="B192" s="82" t="s">
        <v>284</v>
      </c>
      <c r="C192" s="82" t="s">
        <v>285</v>
      </c>
      <c r="D192" s="82" t="e">
        <f>VLOOKUP(C192,$J$3:$N$78,2,FALSE)</f>
        <v>#N/A</v>
      </c>
      <c r="E192" s="126" t="e">
        <f>VLOOKUP(C192,$J$3:$N$78,3,FALSE)</f>
        <v>#N/A</v>
      </c>
      <c r="F192" s="126" t="e">
        <f>VLOOKUP(C192,$J$3:$N$78,4,FALSE)</f>
        <v>#N/A</v>
      </c>
      <c r="G192" s="82" t="e">
        <f>VLOOKUP(C192,$J$3:$N$78,5,FALSE)</f>
        <v>#N/A</v>
      </c>
      <c r="H192" s="82" t="e">
        <f t="shared" si="2"/>
        <v>#N/A</v>
      </c>
    </row>
    <row r="193" hidden="1" spans="1:8">
      <c r="A193" s="82" t="s">
        <v>8</v>
      </c>
      <c r="B193" s="134" t="s">
        <v>286</v>
      </c>
      <c r="C193" s="82" t="s">
        <v>287</v>
      </c>
      <c r="D193" s="82" t="e">
        <f>VLOOKUP(C193,$J$3:$N$78,2,FALSE)</f>
        <v>#N/A</v>
      </c>
      <c r="E193" s="126" t="e">
        <f>VLOOKUP(C193,$J$3:$N$78,3,FALSE)</f>
        <v>#N/A</v>
      </c>
      <c r="F193" s="126" t="e">
        <f>VLOOKUP(C193,$J$3:$N$78,4,FALSE)</f>
        <v>#N/A</v>
      </c>
      <c r="G193" s="82" t="e">
        <f>VLOOKUP(C193,$J$3:$N$78,5,FALSE)</f>
        <v>#N/A</v>
      </c>
      <c r="H193" s="82" t="e">
        <f t="shared" si="2"/>
        <v>#N/A</v>
      </c>
    </row>
    <row r="194" hidden="1" spans="1:8">
      <c r="A194" s="82" t="s">
        <v>8</v>
      </c>
      <c r="B194" s="134" t="s">
        <v>286</v>
      </c>
      <c r="C194" s="82" t="s">
        <v>288</v>
      </c>
      <c r="D194" s="82" t="e">
        <f>VLOOKUP(C194,$J$3:$N$78,2,FALSE)</f>
        <v>#N/A</v>
      </c>
      <c r="E194" s="126" t="e">
        <f>VLOOKUP(C194,$J$3:$N$78,3,FALSE)</f>
        <v>#N/A</v>
      </c>
      <c r="F194" s="126" t="e">
        <f>VLOOKUP(C194,$J$3:$N$78,4,FALSE)</f>
        <v>#N/A</v>
      </c>
      <c r="G194" s="82" t="e">
        <f>VLOOKUP(C194,$J$3:$N$78,5,FALSE)</f>
        <v>#N/A</v>
      </c>
      <c r="H194" s="82" t="e">
        <f t="shared" si="2"/>
        <v>#N/A</v>
      </c>
    </row>
    <row r="195" hidden="1" spans="1:8">
      <c r="A195" s="82" t="s">
        <v>8</v>
      </c>
      <c r="B195" s="134" t="s">
        <v>286</v>
      </c>
      <c r="C195" s="82" t="s">
        <v>289</v>
      </c>
      <c r="D195" s="82" t="e">
        <f>VLOOKUP(C195,$J$3:$N$78,2,FALSE)</f>
        <v>#N/A</v>
      </c>
      <c r="E195" s="126" t="e">
        <f>VLOOKUP(C195,$J$3:$N$78,3,FALSE)</f>
        <v>#N/A</v>
      </c>
      <c r="F195" s="126" t="e">
        <f>VLOOKUP(C195,$J$3:$N$78,4,FALSE)</f>
        <v>#N/A</v>
      </c>
      <c r="G195" s="82" t="e">
        <f>VLOOKUP(C195,$J$3:$N$78,5,FALSE)</f>
        <v>#N/A</v>
      </c>
      <c r="H195" s="82" t="e">
        <f t="shared" ref="H195:H223" si="3">D195/G195</f>
        <v>#N/A</v>
      </c>
    </row>
    <row r="196" hidden="1" spans="1:8">
      <c r="A196" s="82" t="s">
        <v>8</v>
      </c>
      <c r="B196" s="134" t="s">
        <v>286</v>
      </c>
      <c r="C196" s="82" t="s">
        <v>290</v>
      </c>
      <c r="D196" s="82" t="e">
        <f>VLOOKUP(C196,$J$3:$N$78,2,FALSE)</f>
        <v>#N/A</v>
      </c>
      <c r="E196" s="126" t="e">
        <f>VLOOKUP(C196,$J$3:$N$78,3,FALSE)</f>
        <v>#N/A</v>
      </c>
      <c r="F196" s="126" t="e">
        <f>VLOOKUP(C196,$J$3:$N$78,4,FALSE)</f>
        <v>#N/A</v>
      </c>
      <c r="G196" s="82" t="e">
        <f>VLOOKUP(C196,$J$3:$N$78,5,FALSE)</f>
        <v>#N/A</v>
      </c>
      <c r="H196" s="82" t="e">
        <f t="shared" si="3"/>
        <v>#N/A</v>
      </c>
    </row>
    <row r="197" hidden="1" spans="1:8">
      <c r="A197" s="82" t="s">
        <v>8</v>
      </c>
      <c r="B197" s="134" t="s">
        <v>286</v>
      </c>
      <c r="C197" s="82" t="s">
        <v>291</v>
      </c>
      <c r="D197" s="82" t="e">
        <f>VLOOKUP(C197,$J$3:$N$78,2,FALSE)</f>
        <v>#N/A</v>
      </c>
      <c r="E197" s="126" t="e">
        <f>VLOOKUP(C197,$J$3:$N$78,3,FALSE)</f>
        <v>#N/A</v>
      </c>
      <c r="F197" s="126" t="e">
        <f>VLOOKUP(C197,$J$3:$N$78,4,FALSE)</f>
        <v>#N/A</v>
      </c>
      <c r="G197" s="82" t="e">
        <f>VLOOKUP(C197,$J$3:$N$78,5,FALSE)</f>
        <v>#N/A</v>
      </c>
      <c r="H197" s="82" t="e">
        <f t="shared" si="3"/>
        <v>#N/A</v>
      </c>
    </row>
    <row r="198" hidden="1" spans="1:8">
      <c r="A198" s="82" t="s">
        <v>8</v>
      </c>
      <c r="B198" s="134" t="s">
        <v>286</v>
      </c>
      <c r="C198" s="82" t="s">
        <v>292</v>
      </c>
      <c r="D198" s="82" t="e">
        <f>VLOOKUP(C198,$J$3:$N$78,2,FALSE)</f>
        <v>#N/A</v>
      </c>
      <c r="E198" s="126" t="e">
        <f>VLOOKUP(C198,$J$3:$N$78,3,FALSE)</f>
        <v>#N/A</v>
      </c>
      <c r="F198" s="126" t="e">
        <f>VLOOKUP(C198,$J$3:$N$78,4,FALSE)</f>
        <v>#N/A</v>
      </c>
      <c r="G198" s="82" t="e">
        <f>VLOOKUP(C198,$J$3:$N$78,5,FALSE)</f>
        <v>#N/A</v>
      </c>
      <c r="H198" s="82" t="e">
        <f t="shared" si="3"/>
        <v>#N/A</v>
      </c>
    </row>
    <row r="199" hidden="1" spans="1:8">
      <c r="A199" s="82" t="s">
        <v>8</v>
      </c>
      <c r="B199" s="82" t="s">
        <v>284</v>
      </c>
      <c r="C199" s="82" t="s">
        <v>293</v>
      </c>
      <c r="D199" s="82" t="e">
        <f>VLOOKUP(C199,$J$3:$N$78,2,FALSE)</f>
        <v>#N/A</v>
      </c>
      <c r="E199" s="126" t="e">
        <f>VLOOKUP(C199,$J$3:$N$78,3,FALSE)</f>
        <v>#N/A</v>
      </c>
      <c r="F199" s="126" t="e">
        <f>VLOOKUP(C199,$J$3:$N$78,4,FALSE)</f>
        <v>#N/A</v>
      </c>
      <c r="G199" s="82" t="e">
        <f>VLOOKUP(C199,$J$3:$N$78,5,FALSE)</f>
        <v>#N/A</v>
      </c>
      <c r="H199" s="82" t="e">
        <f t="shared" si="3"/>
        <v>#N/A</v>
      </c>
    </row>
    <row r="200" hidden="1" spans="1:8">
      <c r="A200" s="82" t="s">
        <v>8</v>
      </c>
      <c r="B200" s="82" t="s">
        <v>284</v>
      </c>
      <c r="C200" s="82" t="s">
        <v>294</v>
      </c>
      <c r="D200" s="82" t="e">
        <f>VLOOKUP(C200,$J$3:$N$78,2,FALSE)</f>
        <v>#N/A</v>
      </c>
      <c r="E200" s="126" t="e">
        <f>VLOOKUP(C200,$J$3:$N$78,3,FALSE)</f>
        <v>#N/A</v>
      </c>
      <c r="F200" s="126" t="e">
        <f>VLOOKUP(C200,$J$3:$N$78,4,FALSE)</f>
        <v>#N/A</v>
      </c>
      <c r="G200" s="82" t="e">
        <f>VLOOKUP(C200,$J$3:$N$78,5,FALSE)</f>
        <v>#N/A</v>
      </c>
      <c r="H200" s="82" t="e">
        <f t="shared" si="3"/>
        <v>#N/A</v>
      </c>
    </row>
    <row r="201" hidden="1" spans="1:8">
      <c r="A201" s="82" t="s">
        <v>8</v>
      </c>
      <c r="B201" s="82" t="s">
        <v>284</v>
      </c>
      <c r="C201" s="82" t="s">
        <v>295</v>
      </c>
      <c r="D201" s="82" t="e">
        <f>VLOOKUP(C201,$J$3:$N$78,2,FALSE)</f>
        <v>#N/A</v>
      </c>
      <c r="E201" s="126" t="e">
        <f>VLOOKUP(C201,$J$3:$N$78,3,FALSE)</f>
        <v>#N/A</v>
      </c>
      <c r="F201" s="126" t="e">
        <f>VLOOKUP(C201,$J$3:$N$78,4,FALSE)</f>
        <v>#N/A</v>
      </c>
      <c r="G201" s="82" t="e">
        <f>VLOOKUP(C201,$J$3:$N$78,5,FALSE)</f>
        <v>#N/A</v>
      </c>
      <c r="H201" s="82" t="e">
        <f t="shared" si="3"/>
        <v>#N/A</v>
      </c>
    </row>
    <row r="202" hidden="1" spans="1:8">
      <c r="A202" s="82" t="s">
        <v>8</v>
      </c>
      <c r="B202" s="82" t="s">
        <v>284</v>
      </c>
      <c r="C202" s="82" t="s">
        <v>296</v>
      </c>
      <c r="D202" s="82" t="e">
        <f>VLOOKUP(C202,$J$3:$N$78,2,FALSE)</f>
        <v>#N/A</v>
      </c>
      <c r="E202" s="126" t="e">
        <f>VLOOKUP(C202,$J$3:$N$78,3,FALSE)</f>
        <v>#N/A</v>
      </c>
      <c r="F202" s="126" t="e">
        <f>VLOOKUP(C202,$J$3:$N$78,4,FALSE)</f>
        <v>#N/A</v>
      </c>
      <c r="G202" s="82" t="e">
        <f>VLOOKUP(C202,$J$3:$N$78,5,FALSE)</f>
        <v>#N/A</v>
      </c>
      <c r="H202" s="82" t="e">
        <f t="shared" si="3"/>
        <v>#N/A</v>
      </c>
    </row>
    <row r="203" hidden="1" spans="1:8">
      <c r="A203" s="82" t="s">
        <v>8</v>
      </c>
      <c r="B203" s="82" t="s">
        <v>284</v>
      </c>
      <c r="C203" s="82" t="s">
        <v>297</v>
      </c>
      <c r="D203" s="82" t="e">
        <f>VLOOKUP(C203,$J$3:$N$78,2,FALSE)</f>
        <v>#N/A</v>
      </c>
      <c r="E203" s="126" t="e">
        <f>VLOOKUP(C203,$J$3:$N$78,3,FALSE)</f>
        <v>#N/A</v>
      </c>
      <c r="F203" s="126" t="e">
        <f>VLOOKUP(C203,$J$3:$N$78,4,FALSE)</f>
        <v>#N/A</v>
      </c>
      <c r="G203" s="82" t="e">
        <f>VLOOKUP(C203,$J$3:$N$78,5,FALSE)</f>
        <v>#N/A</v>
      </c>
      <c r="H203" s="82" t="e">
        <f t="shared" si="3"/>
        <v>#N/A</v>
      </c>
    </row>
    <row r="204" hidden="1" spans="1:8">
      <c r="A204" s="82" t="s">
        <v>8</v>
      </c>
      <c r="B204" s="82" t="s">
        <v>284</v>
      </c>
      <c r="C204" s="82" t="s">
        <v>298</v>
      </c>
      <c r="D204" s="82" t="e">
        <f>VLOOKUP(C204,$J$3:$N$78,2,FALSE)</f>
        <v>#N/A</v>
      </c>
      <c r="E204" s="126" t="e">
        <f>VLOOKUP(C204,$J$3:$N$78,3,FALSE)</f>
        <v>#N/A</v>
      </c>
      <c r="F204" s="126" t="e">
        <f>VLOOKUP(C204,$J$3:$N$78,4,FALSE)</f>
        <v>#N/A</v>
      </c>
      <c r="G204" s="82" t="e">
        <f>VLOOKUP(C204,$J$3:$N$78,5,FALSE)</f>
        <v>#N/A</v>
      </c>
      <c r="H204" s="82" t="e">
        <f t="shared" si="3"/>
        <v>#N/A</v>
      </c>
    </row>
    <row r="205" hidden="1" spans="1:8">
      <c r="A205" s="82" t="s">
        <v>8</v>
      </c>
      <c r="B205" s="82" t="s">
        <v>284</v>
      </c>
      <c r="C205" s="82" t="s">
        <v>299</v>
      </c>
      <c r="D205" s="82" t="e">
        <f>VLOOKUP(C205,$J$3:$N$78,2,FALSE)</f>
        <v>#N/A</v>
      </c>
      <c r="E205" s="126" t="e">
        <f>VLOOKUP(C205,$J$3:$N$78,3,FALSE)</f>
        <v>#N/A</v>
      </c>
      <c r="F205" s="126" t="e">
        <f>VLOOKUP(C205,$J$3:$N$78,4,FALSE)</f>
        <v>#N/A</v>
      </c>
      <c r="G205" s="82" t="e">
        <f>VLOOKUP(C205,$J$3:$N$78,5,FALSE)</f>
        <v>#N/A</v>
      </c>
      <c r="H205" s="82" t="e">
        <f t="shared" si="3"/>
        <v>#N/A</v>
      </c>
    </row>
    <row r="206" hidden="1" spans="1:8">
      <c r="A206" s="82" t="s">
        <v>8</v>
      </c>
      <c r="B206" s="82" t="s">
        <v>284</v>
      </c>
      <c r="C206" s="82" t="s">
        <v>300</v>
      </c>
      <c r="D206" s="82" t="e">
        <f>VLOOKUP(C206,$J$3:$N$78,2,FALSE)</f>
        <v>#N/A</v>
      </c>
      <c r="E206" s="126" t="e">
        <f>VLOOKUP(C206,$J$3:$N$78,3,FALSE)</f>
        <v>#N/A</v>
      </c>
      <c r="F206" s="126" t="e">
        <f>VLOOKUP(C206,$J$3:$N$78,4,FALSE)</f>
        <v>#N/A</v>
      </c>
      <c r="G206" s="82" t="e">
        <f>VLOOKUP(C206,$J$3:$N$78,5,FALSE)</f>
        <v>#N/A</v>
      </c>
      <c r="H206" s="82" t="e">
        <f t="shared" si="3"/>
        <v>#N/A</v>
      </c>
    </row>
    <row r="207" hidden="1" spans="1:8">
      <c r="A207" s="82" t="s">
        <v>8</v>
      </c>
      <c r="B207" s="82" t="s">
        <v>284</v>
      </c>
      <c r="C207" s="82" t="s">
        <v>301</v>
      </c>
      <c r="D207" s="82" t="e">
        <f>VLOOKUP(C207,$J$3:$N$78,2,FALSE)</f>
        <v>#N/A</v>
      </c>
      <c r="E207" s="126" t="e">
        <f>VLOOKUP(C207,$J$3:$N$78,3,FALSE)</f>
        <v>#N/A</v>
      </c>
      <c r="F207" s="126" t="e">
        <f>VLOOKUP(C207,$J$3:$N$78,4,FALSE)</f>
        <v>#N/A</v>
      </c>
      <c r="G207" s="82" t="e">
        <f>VLOOKUP(C207,$J$3:$N$78,5,FALSE)</f>
        <v>#N/A</v>
      </c>
      <c r="H207" s="82" t="e">
        <f t="shared" si="3"/>
        <v>#N/A</v>
      </c>
    </row>
    <row r="208" hidden="1" spans="1:8">
      <c r="A208" s="82" t="s">
        <v>8</v>
      </c>
      <c r="B208" s="82" t="s">
        <v>284</v>
      </c>
      <c r="C208" s="82" t="s">
        <v>302</v>
      </c>
      <c r="D208" s="82" t="e">
        <f>VLOOKUP(C208,$J$3:$N$78,2,FALSE)</f>
        <v>#N/A</v>
      </c>
      <c r="E208" s="126" t="e">
        <f>VLOOKUP(C208,$J$3:$N$78,3,FALSE)</f>
        <v>#N/A</v>
      </c>
      <c r="F208" s="126" t="e">
        <f>VLOOKUP(C208,$J$3:$N$78,4,FALSE)</f>
        <v>#N/A</v>
      </c>
      <c r="G208" s="82" t="e">
        <f>VLOOKUP(C208,$J$3:$N$78,5,FALSE)</f>
        <v>#N/A</v>
      </c>
      <c r="H208" s="82" t="e">
        <f t="shared" si="3"/>
        <v>#N/A</v>
      </c>
    </row>
    <row r="209" hidden="1" spans="1:8">
      <c r="A209" s="82" t="s">
        <v>8</v>
      </c>
      <c r="B209" s="82" t="s">
        <v>284</v>
      </c>
      <c r="C209" s="82" t="s">
        <v>303</v>
      </c>
      <c r="D209" s="82" t="e">
        <f>VLOOKUP(C209,$J$3:$N$78,2,FALSE)</f>
        <v>#N/A</v>
      </c>
      <c r="E209" s="126" t="e">
        <f>VLOOKUP(C209,$J$3:$N$78,3,FALSE)</f>
        <v>#N/A</v>
      </c>
      <c r="F209" s="126" t="e">
        <f>VLOOKUP(C209,$J$3:$N$78,4,FALSE)</f>
        <v>#N/A</v>
      </c>
      <c r="G209" s="82" t="e">
        <f>VLOOKUP(C209,$J$3:$N$78,5,FALSE)</f>
        <v>#N/A</v>
      </c>
      <c r="H209" s="82" t="e">
        <f t="shared" si="3"/>
        <v>#N/A</v>
      </c>
    </row>
    <row r="210" hidden="1" spans="1:8">
      <c r="A210" s="82" t="s">
        <v>8</v>
      </c>
      <c r="B210" s="82" t="s">
        <v>284</v>
      </c>
      <c r="C210" s="82" t="s">
        <v>304</v>
      </c>
      <c r="D210" s="82" t="e">
        <f>VLOOKUP(C210,$J$3:$N$78,2,FALSE)</f>
        <v>#N/A</v>
      </c>
      <c r="E210" s="126" t="e">
        <f>VLOOKUP(C210,$J$3:$N$78,3,FALSE)</f>
        <v>#N/A</v>
      </c>
      <c r="F210" s="126" t="e">
        <f>VLOOKUP(C210,$J$3:$N$78,4,FALSE)</f>
        <v>#N/A</v>
      </c>
      <c r="G210" s="82" t="e">
        <f>VLOOKUP(C210,$J$3:$N$78,5,FALSE)</f>
        <v>#N/A</v>
      </c>
      <c r="H210" s="82" t="e">
        <f t="shared" si="3"/>
        <v>#N/A</v>
      </c>
    </row>
    <row r="211" spans="1:14">
      <c r="A211" s="80" t="s">
        <v>8</v>
      </c>
      <c r="B211" s="80" t="s">
        <v>19</v>
      </c>
      <c r="C211" s="80" t="s">
        <v>305</v>
      </c>
      <c r="D211" s="80">
        <f>VLOOKUP(C211,$J$3:$N$78,2,FALSE)</f>
        <v>34</v>
      </c>
      <c r="E211" s="127">
        <f>VLOOKUP(C211,$J$3:$N$78,3,FALSE)</f>
        <v>-0.132</v>
      </c>
      <c r="F211" s="127">
        <f>VLOOKUP(C211,$J$3:$N$78,4,FALSE)</f>
        <v>0.0647</v>
      </c>
      <c r="G211" s="80">
        <f>VLOOKUP(C211,$J$3:$N$78,5,FALSE)</f>
        <v>7</v>
      </c>
      <c r="H211" s="80">
        <f t="shared" si="3"/>
        <v>4.85714285714286</v>
      </c>
      <c r="J211" s="128" t="s">
        <v>306</v>
      </c>
      <c r="K211" s="129">
        <v>1763</v>
      </c>
      <c r="L211" s="130">
        <v>0.214</v>
      </c>
      <c r="M211" s="132">
        <v>0.0334</v>
      </c>
      <c r="N211" s="128">
        <v>99</v>
      </c>
    </row>
    <row r="212" hidden="1" spans="1:14">
      <c r="A212" s="82" t="s">
        <v>8</v>
      </c>
      <c r="B212" s="82" t="s">
        <v>19</v>
      </c>
      <c r="C212" s="82" t="s">
        <v>307</v>
      </c>
      <c r="D212" s="82" t="e">
        <f>VLOOKUP(C212,$J$3:$N$78,2,FALSE)</f>
        <v>#N/A</v>
      </c>
      <c r="E212" s="126" t="e">
        <f>VLOOKUP(C212,$J$3:$N$78,3,FALSE)</f>
        <v>#N/A</v>
      </c>
      <c r="F212" s="126" t="e">
        <f>VLOOKUP(C212,$J$3:$N$78,4,FALSE)</f>
        <v>#N/A</v>
      </c>
      <c r="G212" s="82" t="e">
        <f>VLOOKUP(C212,$J$3:$N$78,5,FALSE)</f>
        <v>#N/A</v>
      </c>
      <c r="H212" s="82" t="e">
        <f t="shared" si="3"/>
        <v>#N/A</v>
      </c>
      <c r="J212" s="128" t="s">
        <v>308</v>
      </c>
      <c r="K212" s="129">
        <v>600</v>
      </c>
      <c r="L212" s="130">
        <v>0.516</v>
      </c>
      <c r="M212" s="132">
        <v>0.0603</v>
      </c>
      <c r="N212" s="128">
        <v>60</v>
      </c>
    </row>
    <row r="213" hidden="1" spans="1:8">
      <c r="A213" s="82" t="s">
        <v>8</v>
      </c>
      <c r="B213" s="82" t="s">
        <v>12</v>
      </c>
      <c r="C213" s="82" t="s">
        <v>309</v>
      </c>
      <c r="D213" s="82" t="e">
        <f>VLOOKUP(C213,$J$3:$N$78,2,FALSE)</f>
        <v>#N/A</v>
      </c>
      <c r="E213" s="126" t="e">
        <f>VLOOKUP(C213,$J$3:$N$78,3,FALSE)</f>
        <v>#N/A</v>
      </c>
      <c r="F213" s="126" t="e">
        <f>VLOOKUP(C213,$J$3:$N$78,4,FALSE)</f>
        <v>#N/A</v>
      </c>
      <c r="G213" s="82" t="e">
        <f>VLOOKUP(C213,$J$3:$N$78,5,FALSE)</f>
        <v>#N/A</v>
      </c>
      <c r="H213" s="82" t="e">
        <f t="shared" si="3"/>
        <v>#N/A</v>
      </c>
    </row>
    <row r="214" hidden="1" spans="1:14">
      <c r="A214" s="82" t="s">
        <v>8</v>
      </c>
      <c r="B214" s="82" t="s">
        <v>9</v>
      </c>
      <c r="C214" s="82" t="s">
        <v>310</v>
      </c>
      <c r="D214" s="82" t="e">
        <f>VLOOKUP(C214,$J$3:$N$78,2,FALSE)</f>
        <v>#N/A</v>
      </c>
      <c r="E214" s="126" t="e">
        <f>VLOOKUP(C214,$J$3:$N$78,3,FALSE)</f>
        <v>#N/A</v>
      </c>
      <c r="F214" s="126" t="e">
        <f>VLOOKUP(C214,$J$3:$N$78,4,FALSE)</f>
        <v>#N/A</v>
      </c>
      <c r="G214" s="82" t="e">
        <f>VLOOKUP(C214,$J$3:$N$78,5,FALSE)</f>
        <v>#N/A</v>
      </c>
      <c r="H214" s="82" t="e">
        <f t="shared" si="3"/>
        <v>#N/A</v>
      </c>
      <c r="J214" s="128" t="s">
        <v>311</v>
      </c>
      <c r="K214" s="129">
        <v>35</v>
      </c>
      <c r="L214" s="130">
        <v>-0.229</v>
      </c>
      <c r="M214" s="132">
        <v>0.0141</v>
      </c>
      <c r="N214" s="128">
        <v>22</v>
      </c>
    </row>
    <row r="215" hidden="1" spans="1:8">
      <c r="A215" s="82" t="s">
        <v>8</v>
      </c>
      <c r="B215" s="82" t="s">
        <v>12</v>
      </c>
      <c r="C215" s="82" t="s">
        <v>312</v>
      </c>
      <c r="D215" s="82" t="e">
        <f>VLOOKUP(C215,$J$3:$N$78,2,FALSE)</f>
        <v>#N/A</v>
      </c>
      <c r="E215" s="126" t="e">
        <f>VLOOKUP(C215,$J$3:$N$78,3,FALSE)</f>
        <v>#N/A</v>
      </c>
      <c r="F215" s="126" t="e">
        <f>VLOOKUP(C215,$J$3:$N$78,4,FALSE)</f>
        <v>#N/A</v>
      </c>
      <c r="G215" s="82" t="e">
        <f>VLOOKUP(C215,$J$3:$N$78,5,FALSE)</f>
        <v>#N/A</v>
      </c>
      <c r="H215" s="82" t="e">
        <f t="shared" si="3"/>
        <v>#N/A</v>
      </c>
    </row>
    <row r="216" hidden="1" spans="1:14">
      <c r="A216" s="82" t="s">
        <v>8</v>
      </c>
      <c r="B216" s="82" t="s">
        <v>9</v>
      </c>
      <c r="C216" s="82" t="s">
        <v>313</v>
      </c>
      <c r="D216" s="82" t="e">
        <f>VLOOKUP(C216,$J$3:$N$78,2,FALSE)</f>
        <v>#N/A</v>
      </c>
      <c r="E216" s="126" t="e">
        <f>VLOOKUP(C216,$J$3:$N$78,3,FALSE)</f>
        <v>#N/A</v>
      </c>
      <c r="F216" s="126" t="e">
        <f>VLOOKUP(C216,$J$3:$N$78,4,FALSE)</f>
        <v>#N/A</v>
      </c>
      <c r="G216" s="82" t="e">
        <f>VLOOKUP(C216,$J$3:$N$78,5,FALSE)</f>
        <v>#N/A</v>
      </c>
      <c r="H216" s="82" t="e">
        <f t="shared" si="3"/>
        <v>#N/A</v>
      </c>
      <c r="J216" s="128" t="s">
        <v>314</v>
      </c>
      <c r="K216" s="129">
        <v>93</v>
      </c>
      <c r="L216" s="130">
        <v>0.601</v>
      </c>
      <c r="M216" s="132">
        <v>0.066</v>
      </c>
      <c r="N216" s="128">
        <v>35</v>
      </c>
    </row>
    <row r="217" spans="1:14">
      <c r="A217" s="82" t="s">
        <v>8</v>
      </c>
      <c r="B217" s="82" t="s">
        <v>9</v>
      </c>
      <c r="C217" s="82" t="s">
        <v>315</v>
      </c>
      <c r="D217" s="82">
        <f>VLOOKUP(C217,$J$3:$N$78,2,FALSE)</f>
        <v>18</v>
      </c>
      <c r="E217" s="126">
        <f>VLOOKUP(C217,$J$3:$N$78,3,FALSE)</f>
        <v>-0.13</v>
      </c>
      <c r="F217" s="126">
        <f>VLOOKUP(C217,$J$3:$N$78,4,FALSE)</f>
        <v>0</v>
      </c>
      <c r="G217" s="82">
        <f>VLOOKUP(C217,$J$3:$N$78,5,FALSE)</f>
        <v>22</v>
      </c>
      <c r="H217" s="82">
        <f t="shared" si="3"/>
        <v>0.818181818181818</v>
      </c>
      <c r="J217" s="128" t="s">
        <v>316</v>
      </c>
      <c r="K217" s="129">
        <v>203</v>
      </c>
      <c r="L217" s="130">
        <v>-0.129</v>
      </c>
      <c r="M217" s="132">
        <v>0.0973</v>
      </c>
      <c r="N217" s="128">
        <v>38</v>
      </c>
    </row>
    <row r="218" spans="1:8">
      <c r="A218" s="80" t="s">
        <v>8</v>
      </c>
      <c r="B218" s="80" t="s">
        <v>12</v>
      </c>
      <c r="C218" s="80" t="s">
        <v>317</v>
      </c>
      <c r="D218" s="80">
        <f>VLOOKUP(C218,$J$3:$N$78,2,FALSE)</f>
        <v>17</v>
      </c>
      <c r="E218" s="127">
        <f>VLOOKUP(C218,$J$3:$N$78,3,FALSE)</f>
        <v>-0.38</v>
      </c>
      <c r="F218" s="127">
        <f>VLOOKUP(C218,$J$3:$N$78,4,FALSE)</f>
        <v>0.0204</v>
      </c>
      <c r="G218" s="80">
        <f>VLOOKUP(C218,$J$3:$N$78,5,FALSE)</f>
        <v>17</v>
      </c>
      <c r="H218" s="80">
        <f t="shared" si="3"/>
        <v>1</v>
      </c>
    </row>
    <row r="219" hidden="1" spans="1:14">
      <c r="A219" s="82" t="s">
        <v>8</v>
      </c>
      <c r="B219" s="82" t="s">
        <v>42</v>
      </c>
      <c r="C219" s="82" t="s">
        <v>318</v>
      </c>
      <c r="D219" s="82" t="e">
        <f>VLOOKUP(C219,$J$3:$N$78,2,FALSE)</f>
        <v>#N/A</v>
      </c>
      <c r="E219" s="126" t="e">
        <f>VLOOKUP(C219,$J$3:$N$78,3,FALSE)</f>
        <v>#N/A</v>
      </c>
      <c r="F219" s="126" t="e">
        <f>VLOOKUP(C219,$J$3:$N$78,4,FALSE)</f>
        <v>#N/A</v>
      </c>
      <c r="G219" s="82" t="e">
        <f>VLOOKUP(C219,$J$3:$N$78,5,FALSE)</f>
        <v>#N/A</v>
      </c>
      <c r="H219" s="82" t="e">
        <f t="shared" si="3"/>
        <v>#N/A</v>
      </c>
      <c r="J219" s="128" t="s">
        <v>319</v>
      </c>
      <c r="K219" s="129">
        <v>682</v>
      </c>
      <c r="L219" s="130">
        <v>0.728</v>
      </c>
      <c r="M219" s="132">
        <v>0.0451</v>
      </c>
      <c r="N219" s="128">
        <v>95</v>
      </c>
    </row>
    <row r="220" spans="1:8">
      <c r="A220" s="82" t="s">
        <v>8</v>
      </c>
      <c r="B220" s="82" t="s">
        <v>12</v>
      </c>
      <c r="C220" s="82" t="s">
        <v>320</v>
      </c>
      <c r="D220" s="82">
        <f>VLOOKUP(C220,$J$3:$N$78,2,FALSE)</f>
        <v>16</v>
      </c>
      <c r="E220" s="126">
        <f>VLOOKUP(C220,$J$3:$N$78,3,FALSE)</f>
        <v>-0.063</v>
      </c>
      <c r="F220" s="126">
        <f>VLOOKUP(C220,$J$3:$N$78,4,FALSE)</f>
        <v>0.0667</v>
      </c>
      <c r="G220" s="82">
        <f>VLOOKUP(C220,$J$3:$N$78,5,FALSE)</f>
        <v>25</v>
      </c>
      <c r="H220" s="82">
        <f t="shared" si="3"/>
        <v>0.64</v>
      </c>
    </row>
    <row r="221" spans="1:14">
      <c r="A221" s="80" t="s">
        <v>8</v>
      </c>
      <c r="B221" s="80" t="s">
        <v>9</v>
      </c>
      <c r="C221" s="80" t="s">
        <v>321</v>
      </c>
      <c r="D221" s="80">
        <f>VLOOKUP(C221,$J$3:$N$78,2,FALSE)</f>
        <v>11</v>
      </c>
      <c r="E221" s="127">
        <f>VLOOKUP(C221,$J$3:$N$78,3,FALSE)</f>
        <v>0</v>
      </c>
      <c r="F221" s="127">
        <f>VLOOKUP(C221,$J$3:$N$78,4,FALSE)</f>
        <v>0.0357</v>
      </c>
      <c r="G221" s="80">
        <f>VLOOKUP(C221,$J$3:$N$78,5,FALSE)</f>
        <v>9</v>
      </c>
      <c r="H221" s="80">
        <f t="shared" si="3"/>
        <v>1.22222222222222</v>
      </c>
      <c r="J221" s="128" t="s">
        <v>322</v>
      </c>
      <c r="K221" s="129">
        <v>304</v>
      </c>
      <c r="L221" s="130">
        <v>0.563</v>
      </c>
      <c r="M221" s="132">
        <v>0.0983</v>
      </c>
      <c r="N221" s="128">
        <v>94</v>
      </c>
    </row>
    <row r="222" hidden="1" spans="1:14">
      <c r="A222" s="80" t="s">
        <v>8</v>
      </c>
      <c r="B222" s="80" t="s">
        <v>9</v>
      </c>
      <c r="C222" s="80" t="s">
        <v>323</v>
      </c>
      <c r="D222" s="80" t="e">
        <f>VLOOKUP(C222,$J$3:$N$78,2,FALSE)</f>
        <v>#N/A</v>
      </c>
      <c r="E222" s="127" t="e">
        <f>VLOOKUP(C222,$J$3:$N$78,3,FALSE)</f>
        <v>#N/A</v>
      </c>
      <c r="F222" s="127" t="e">
        <f>VLOOKUP(C222,$J$3:$N$78,4,FALSE)</f>
        <v>#N/A</v>
      </c>
      <c r="G222" s="80" t="e">
        <f>VLOOKUP(C222,$J$3:$N$78,5,FALSE)</f>
        <v>#N/A</v>
      </c>
      <c r="H222" s="80" t="e">
        <f t="shared" si="3"/>
        <v>#N/A</v>
      </c>
      <c r="J222" s="128" t="s">
        <v>324</v>
      </c>
      <c r="K222" s="129">
        <v>390</v>
      </c>
      <c r="L222" s="130">
        <v>0.256</v>
      </c>
      <c r="M222" s="132">
        <v>0.0002</v>
      </c>
      <c r="N222" s="128">
        <v>12</v>
      </c>
    </row>
    <row r="223" hidden="1" spans="1:14">
      <c r="A223" s="82" t="s">
        <v>8</v>
      </c>
      <c r="B223" s="82" t="s">
        <v>9</v>
      </c>
      <c r="C223" s="82" t="s">
        <v>325</v>
      </c>
      <c r="D223" s="82">
        <f>VLOOKUP(C223,$J$3:$N$78,2,FALSE)</f>
        <v>31</v>
      </c>
      <c r="E223" s="126">
        <f>VLOOKUP(C223,$J$3:$N$78,3,FALSE)</f>
        <v>-0.484</v>
      </c>
      <c r="F223" s="126">
        <f>VLOOKUP(C223,$J$3:$N$78,4,FALSE)</f>
        <v>0.0328</v>
      </c>
      <c r="G223" s="82">
        <f>VLOOKUP(C223,$J$3:$N$78,5,FALSE)</f>
        <v>18</v>
      </c>
      <c r="H223" s="82">
        <f t="shared" si="3"/>
        <v>1.72222222222222</v>
      </c>
      <c r="J223" s="128" t="s">
        <v>326</v>
      </c>
      <c r="K223" s="129">
        <v>426</v>
      </c>
      <c r="L223" s="130">
        <v>0.793</v>
      </c>
      <c r="M223" s="132">
        <v>0.036</v>
      </c>
      <c r="N223" s="128">
        <v>32</v>
      </c>
    </row>
  </sheetData>
  <sheetProtection formatCells="0" insertHyperlinks="0" autoFilter="0"/>
  <autoFilter xmlns:etc="http://www.wps.cn/officeDocument/2017/etCustomData" ref="A1:N223" etc:filterBottomFollowUsedRange="0">
    <filterColumn colId="7">
      <filters>
        <filter val="1.071428571"/>
        <filter val="5.371428571"/>
        <filter val="2.351351351"/>
        <filter val="1.693877551"/>
        <filter val="3.92"/>
        <filter val="1.222222222"/>
        <filter val="7.142857143"/>
        <filter val="6.272727273"/>
        <filter val="6.773333333"/>
        <filter val="7.743243243"/>
        <filter val="31.3442623"/>
        <filter val="4.015384615"/>
        <filter val="1.135135135"/>
        <filter val="2.025641026"/>
        <filter val="6.666666667"/>
        <filter val="7.466666667"/>
        <filter val="4.266666667"/>
        <filter val="3.87012987"/>
        <filter val="7.907407407"/>
        <filter val="4.857142857"/>
        <filter val="0.818181818"/>
        <filter val="9.583333333"/>
        <filter val="1.645833333"/>
        <filter val="8.4"/>
        <filter val="0.64"/>
        <filter val="13.60784314"/>
        <filter val="1.5"/>
        <filter val="14.25"/>
        <filter val="7.6"/>
        <filter val="53.20618557"/>
        <filter val="13.58823529"/>
        <filter val="3.32"/>
        <filter val="2.15625"/>
        <filter val="2.76"/>
        <filter val="3.36"/>
        <filter val="3.822429907"/>
        <filter val="3.157894737"/>
        <filter val="10.06730769"/>
        <filter val="2.28358209"/>
        <filter val="13.48571429"/>
        <filter val="5.419354839"/>
        <filter val="1"/>
        <filter val="1.967741935"/>
        <filter val="1.078947368"/>
        <filter val="9.453900709"/>
      </filters>
    </filterColumn>
    <sortState ref="A1:N223">
      <sortCondition ref="D1" descending="1"/>
    </sortState>
    <extLst/>
  </autoFilter>
  <conditionalFormatting sqref="E3:E221">
    <cfRule type="iconSet" priority="1">
      <iconSet iconSet="3Arrows">
        <cfvo type="percent" val="0"/>
        <cfvo type="percent" val="33"/>
        <cfvo type="percent" val="67"/>
      </iconSet>
    </cfRule>
  </conditionalFormatting>
  <conditionalFormatting sqref="G3:G221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{f390313b-ea1e-425b-ba1e-29b588aaeaf8}</x14:id>
        </ext>
      </extLst>
    </cfRule>
  </conditionalFormatting>
  <conditionalFormatting sqref="H3:H221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{54f8f0ca-7e7c-40b9-b614-16c773893861}</x14:id>
        </ext>
      </extLst>
    </cfRule>
  </conditionalFormatting>
  <hyperlinks>
    <hyperlink ref="B156" r:id="rId1" display="Mobile Phone Parts" tooltip="https://www.alibaba.com/trade/search?spm=a27aq.13929330.IndustryCategory.24.29d93cadHUIi3J&amp;CateId=127726081&amp;SearchText=Mobile+Phone+Parts&amp;language=en&amp;indexArea=product_en"/>
    <hyperlink ref="B157" r:id="rId1" display="Mobile Phone Parts" tooltip="https://www.alibaba.com/trade/search?spm=a27aq.13929330.IndustryCategory.24.29d93cadHUIi3J&amp;CateId=127726081&amp;SearchText=Mobile+Phone+Parts&amp;language=en&amp;indexArea=product_en"/>
    <hyperlink ref="B158" r:id="rId1" display="Mobile Phone Parts" tooltip="https://www.alibaba.com/trade/search?spm=a27aq.13929330.IndustryCategory.24.29d93cadHUIi3J&amp;CateId=127726081&amp;SearchText=Mobile+Phone+Parts&amp;language=en&amp;indexArea=product_en"/>
    <hyperlink ref="B159" r:id="rId1" display="Mobile Phone Parts" tooltip="https://www.alibaba.com/trade/search?spm=a27aq.13929330.IndustryCategory.24.29d93cadHUIi3J&amp;CateId=127726081&amp;SearchText=Mobile+Phone+Parts&amp;language=en&amp;indexArea=product_en"/>
    <hyperlink ref="B160" r:id="rId1" display="Mobile Phone Parts" tooltip="https://www.alibaba.com/trade/search?spm=a27aq.13929330.IndustryCategory.24.29d93cadHUIi3J&amp;CateId=127726081&amp;SearchText=Mobile+Phone+Parts&amp;language=en&amp;indexArea=product_en"/>
    <hyperlink ref="B161" r:id="rId1" display="Mobile Phone Parts" tooltip="https://www.alibaba.com/trade/search?spm=a27aq.13929330.IndustryCategory.24.29d93cadHUIi3J&amp;CateId=127726081&amp;SearchText=Mobile+Phone+Parts&amp;language=en&amp;indexArea=product_en"/>
    <hyperlink ref="B162" r:id="rId1" display="Mobile Phone Parts" tooltip="https://www.alibaba.com/trade/search?spm=a27aq.13929330.IndustryCategory.24.29d93cadHUIi3J&amp;CateId=127726081&amp;SearchText=Mobile+Phone+Parts&amp;language=en&amp;indexArea=product_en"/>
    <hyperlink ref="B193" r:id="rId2" display="TV Receivers &amp; Accessories" tooltip="https://www.alibaba.com/trade/search?CateId=127726080&amp;SearchText=TV+Receivers+&amp;+Accessories&amp;language=en&amp;indexArea=product_en"/>
    <hyperlink ref="B194" r:id="rId2" display="TV Receivers &amp; Accessories" tooltip="https://www.alibaba.com/trade/search?CateId=127726080&amp;SearchText=TV+Receivers+&amp;+Accessories&amp;language=en&amp;indexArea=product_en"/>
    <hyperlink ref="B195" r:id="rId2" display="TV Receivers &amp; Accessories" tooltip="https://www.alibaba.com/trade/search?CateId=127726080&amp;SearchText=TV+Receivers+&amp;+Accessories&amp;language=en&amp;indexArea=product_en"/>
    <hyperlink ref="B196" r:id="rId2" display="TV Receivers &amp; Accessories" tooltip="https://www.alibaba.com/trade/search?CateId=127726080&amp;SearchText=TV+Receivers+&amp;+Accessories&amp;language=en&amp;indexArea=product_en"/>
    <hyperlink ref="B197" r:id="rId2" display="TV Receivers &amp; Accessories" tooltip="https://www.alibaba.com/trade/search?CateId=127726080&amp;SearchText=TV+Receivers+&amp;+Accessories&amp;language=en&amp;indexArea=product_en"/>
    <hyperlink ref="B198" r:id="rId2" display="TV Receivers &amp; Accessories" tooltip="https://www.alibaba.com/trade/search?CateId=127726080&amp;SearchText=TV+Receivers+&amp;+Accessories&amp;language=en&amp;indexArea=product_en"/>
  </hyperlinks>
  <pageMargins left="0.75" right="0.75" top="1" bottom="1" header="0.511805555555556" footer="0.511805555555556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90313b-ea1e-425b-ba1e-29b588aaeaf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G3:G221</xm:sqref>
        </x14:conditionalFormatting>
        <x14:conditionalFormatting xmlns:xm="http://schemas.microsoft.com/office/excel/2006/main">
          <x14:cfRule type="dataBar" id="{54f8f0ca-7e7c-40b9-b614-16c77389386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H3:H221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6"/>
  <sheetViews>
    <sheetView zoomScale="77" zoomScaleNormal="77" workbookViewId="0">
      <selection activeCell="D9" sqref="D9"/>
    </sheetView>
  </sheetViews>
  <sheetFormatPr defaultColWidth="9.14166666666667" defaultRowHeight="25" customHeight="1"/>
  <cols>
    <col min="1" max="1" width="8.575" style="69" customWidth="1"/>
    <col min="2" max="2" width="47.35" style="69" customWidth="1"/>
    <col min="3" max="3" width="19.3333333333333" style="98" customWidth="1"/>
    <col min="4" max="4" width="27.0666666666667" style="98" customWidth="1"/>
    <col min="5" max="5" width="24.35" style="98" customWidth="1"/>
    <col min="6" max="6" width="29.9583333333333" style="98" customWidth="1"/>
    <col min="7" max="7" width="9.14166666666667" style="69"/>
    <col min="8" max="8" width="7.71666666666667" style="99" customWidth="1"/>
    <col min="9" max="9" width="17" style="99" customWidth="1"/>
    <col min="10" max="10" width="51.6" style="99" customWidth="1"/>
    <col min="11" max="11" width="20.875" style="99" customWidth="1"/>
    <col min="12" max="12" width="22.6083333333333" style="99" customWidth="1"/>
    <col min="13" max="13" width="16.225" style="99" customWidth="1"/>
    <col min="14" max="14" width="17.975" style="99" customWidth="1"/>
    <col min="15" max="16384" width="9.14166666666667" style="69"/>
  </cols>
  <sheetData>
    <row r="1" customHeight="1" spans="1:14">
      <c r="A1" s="100" t="s">
        <v>327</v>
      </c>
      <c r="B1" s="100" t="s">
        <v>1</v>
      </c>
      <c r="C1" s="101" t="s">
        <v>328</v>
      </c>
      <c r="D1" s="101" t="s">
        <v>329</v>
      </c>
      <c r="E1" s="101" t="s">
        <v>330</v>
      </c>
      <c r="F1" s="101" t="s">
        <v>331</v>
      </c>
      <c r="H1" s="111" t="s">
        <v>327</v>
      </c>
      <c r="I1" s="111" t="s">
        <v>1</v>
      </c>
      <c r="J1" s="111" t="s">
        <v>2</v>
      </c>
      <c r="K1" s="111" t="s">
        <v>328</v>
      </c>
      <c r="L1" s="111" t="s">
        <v>332</v>
      </c>
      <c r="M1" s="111" t="s">
        <v>330</v>
      </c>
      <c r="N1" s="111" t="s">
        <v>331</v>
      </c>
    </row>
    <row r="2" customHeight="1" spans="1:14">
      <c r="A2" s="102">
        <v>1</v>
      </c>
      <c r="B2" s="102" t="s">
        <v>333</v>
      </c>
      <c r="C2" s="103">
        <v>3804</v>
      </c>
      <c r="D2" s="104">
        <v>-0.4817</v>
      </c>
      <c r="E2" s="108">
        <v>227.53</v>
      </c>
      <c r="F2" s="104">
        <v>0.0524</v>
      </c>
      <c r="H2" s="102">
        <v>104</v>
      </c>
      <c r="I2" s="113" t="s">
        <v>334</v>
      </c>
      <c r="J2" s="102" t="s">
        <v>335</v>
      </c>
      <c r="K2" s="114">
        <v>2767</v>
      </c>
      <c r="L2" s="115">
        <v>-0.1003</v>
      </c>
      <c r="M2" s="102">
        <v>404.01</v>
      </c>
      <c r="N2" s="115">
        <v>0.0527</v>
      </c>
    </row>
    <row r="3" customHeight="1" spans="1:14">
      <c r="A3" s="105">
        <v>2</v>
      </c>
      <c r="B3" s="105" t="s">
        <v>336</v>
      </c>
      <c r="C3" s="106">
        <v>3298</v>
      </c>
      <c r="D3" s="107">
        <v>-0.5644</v>
      </c>
      <c r="E3" s="109">
        <v>98.48</v>
      </c>
      <c r="F3" s="107">
        <v>0.0461</v>
      </c>
      <c r="H3" s="105">
        <v>34</v>
      </c>
      <c r="I3" s="116" t="s">
        <v>337</v>
      </c>
      <c r="J3" s="105" t="s">
        <v>338</v>
      </c>
      <c r="K3" s="117">
        <v>2022</v>
      </c>
      <c r="L3" s="105" t="s">
        <v>339</v>
      </c>
      <c r="M3" s="105">
        <v>395.95</v>
      </c>
      <c r="N3" s="110" t="s">
        <v>340</v>
      </c>
    </row>
    <row r="4" customHeight="1" spans="1:14">
      <c r="A4" s="102">
        <v>3</v>
      </c>
      <c r="B4" s="102" t="s">
        <v>341</v>
      </c>
      <c r="C4" s="103">
        <v>2908</v>
      </c>
      <c r="D4" s="104">
        <v>-0.0994</v>
      </c>
      <c r="E4" s="108">
        <v>329.26</v>
      </c>
      <c r="F4" s="104">
        <v>0.0525</v>
      </c>
      <c r="H4" s="102">
        <v>35</v>
      </c>
      <c r="I4" s="113" t="s">
        <v>337</v>
      </c>
      <c r="J4" s="102" t="s">
        <v>342</v>
      </c>
      <c r="K4" s="114">
        <v>1830</v>
      </c>
      <c r="L4" s="102" t="s">
        <v>339</v>
      </c>
      <c r="M4" s="102">
        <v>282.32</v>
      </c>
      <c r="N4" s="119" t="s">
        <v>340</v>
      </c>
    </row>
    <row r="5" customHeight="1" spans="1:14">
      <c r="A5" s="105">
        <v>4</v>
      </c>
      <c r="B5" s="105" t="s">
        <v>343</v>
      </c>
      <c r="C5" s="106">
        <v>2740</v>
      </c>
      <c r="D5" s="107">
        <v>-0.0538</v>
      </c>
      <c r="E5" s="109">
        <v>368.22</v>
      </c>
      <c r="F5" s="112">
        <v>0.05</v>
      </c>
      <c r="H5" s="105">
        <v>71</v>
      </c>
      <c r="I5" s="116" t="s">
        <v>344</v>
      </c>
      <c r="J5" s="105" t="s">
        <v>345</v>
      </c>
      <c r="K5" s="117">
        <v>1613</v>
      </c>
      <c r="L5" s="118">
        <v>-0.2452</v>
      </c>
      <c r="M5" s="105">
        <v>70.01</v>
      </c>
      <c r="N5" s="118">
        <v>0.0368</v>
      </c>
    </row>
    <row r="6" customHeight="1" spans="1:14">
      <c r="A6" s="102">
        <v>5</v>
      </c>
      <c r="B6" s="102" t="s">
        <v>346</v>
      </c>
      <c r="C6" s="103">
        <v>2552</v>
      </c>
      <c r="D6" s="104">
        <v>-0.6076</v>
      </c>
      <c r="E6" s="108">
        <v>74</v>
      </c>
      <c r="F6" s="104">
        <v>0.0565</v>
      </c>
      <c r="H6" s="102">
        <v>72</v>
      </c>
      <c r="I6" s="113" t="s">
        <v>344</v>
      </c>
      <c r="J6" s="102" t="s">
        <v>347</v>
      </c>
      <c r="K6" s="114">
        <v>1373</v>
      </c>
      <c r="L6" s="115">
        <v>-0.3009</v>
      </c>
      <c r="M6" s="102">
        <v>80.07</v>
      </c>
      <c r="N6" s="115">
        <v>0.0657</v>
      </c>
    </row>
    <row r="7" customHeight="1" spans="1:14">
      <c r="A7" s="105">
        <v>6</v>
      </c>
      <c r="B7" s="105" t="s">
        <v>348</v>
      </c>
      <c r="C7" s="106">
        <v>1903</v>
      </c>
      <c r="D7" s="107">
        <v>0.4369</v>
      </c>
      <c r="E7" s="109">
        <v>90.74</v>
      </c>
      <c r="F7" s="107">
        <v>0.0547</v>
      </c>
      <c r="H7" s="105">
        <v>110</v>
      </c>
      <c r="I7" s="116" t="s">
        <v>349</v>
      </c>
      <c r="J7" s="105" t="s">
        <v>350</v>
      </c>
      <c r="K7" s="117">
        <v>1354</v>
      </c>
      <c r="L7" s="105">
        <v>110.29</v>
      </c>
      <c r="M7" s="118">
        <v>0.0484</v>
      </c>
      <c r="N7" s="110" t="s">
        <v>340</v>
      </c>
    </row>
    <row r="8" customHeight="1" spans="1:14">
      <c r="A8" s="102">
        <v>7</v>
      </c>
      <c r="B8" s="102" t="s">
        <v>351</v>
      </c>
      <c r="C8" s="103">
        <v>1654</v>
      </c>
      <c r="D8" s="104">
        <v>-0.503</v>
      </c>
      <c r="E8" s="108">
        <v>108.29</v>
      </c>
      <c r="F8" s="104">
        <v>0.0422</v>
      </c>
      <c r="H8" s="102">
        <v>122</v>
      </c>
      <c r="I8" s="113" t="s">
        <v>352</v>
      </c>
      <c r="J8" s="102" t="s">
        <v>353</v>
      </c>
      <c r="K8" s="114">
        <v>1264</v>
      </c>
      <c r="L8" s="115">
        <v>0.6301</v>
      </c>
      <c r="M8" s="102">
        <v>494.21</v>
      </c>
      <c r="N8" s="115">
        <v>0.0649</v>
      </c>
    </row>
    <row r="9" customHeight="1" spans="1:14">
      <c r="A9" s="105">
        <v>8</v>
      </c>
      <c r="B9" s="105" t="s">
        <v>354</v>
      </c>
      <c r="C9" s="106">
        <v>1249</v>
      </c>
      <c r="D9" s="107">
        <v>-0.1332</v>
      </c>
      <c r="E9" s="109">
        <v>169.32</v>
      </c>
      <c r="F9" s="107">
        <v>0.031</v>
      </c>
      <c r="H9" s="105">
        <v>40</v>
      </c>
      <c r="I9" s="116" t="s">
        <v>355</v>
      </c>
      <c r="J9" s="105" t="s">
        <v>356</v>
      </c>
      <c r="K9" s="117">
        <v>1228</v>
      </c>
      <c r="L9" s="118">
        <v>-0.5587</v>
      </c>
      <c r="M9" s="105">
        <v>69.4</v>
      </c>
      <c r="N9" s="118">
        <v>0.0553</v>
      </c>
    </row>
    <row r="10" customHeight="1" spans="1:14">
      <c r="A10" s="102">
        <v>9</v>
      </c>
      <c r="B10" s="102" t="s">
        <v>357</v>
      </c>
      <c r="C10" s="103">
        <v>1229</v>
      </c>
      <c r="D10" s="104">
        <v>-0.3037</v>
      </c>
      <c r="E10" s="108">
        <v>35.05</v>
      </c>
      <c r="F10" s="104">
        <v>0.0574</v>
      </c>
      <c r="H10" s="102">
        <v>123</v>
      </c>
      <c r="I10" s="113" t="s">
        <v>352</v>
      </c>
      <c r="J10" s="102" t="s">
        <v>358</v>
      </c>
      <c r="K10" s="114">
        <v>1037</v>
      </c>
      <c r="L10" s="115">
        <v>0.4563</v>
      </c>
      <c r="M10" s="102">
        <v>259.77</v>
      </c>
      <c r="N10" s="115">
        <v>0.0448</v>
      </c>
    </row>
    <row r="11" customHeight="1" spans="1:14">
      <c r="A11" s="105">
        <v>10</v>
      </c>
      <c r="B11" s="105" t="s">
        <v>359</v>
      </c>
      <c r="C11" s="106">
        <v>1226</v>
      </c>
      <c r="D11" s="107">
        <v>-0.3535</v>
      </c>
      <c r="E11" s="109">
        <v>120.69</v>
      </c>
      <c r="F11" s="107">
        <v>0.0665</v>
      </c>
      <c r="H11" s="105">
        <v>41</v>
      </c>
      <c r="I11" s="116" t="s">
        <v>355</v>
      </c>
      <c r="J11" s="105" t="s">
        <v>360</v>
      </c>
      <c r="K11" s="105">
        <v>990</v>
      </c>
      <c r="L11" s="118">
        <v>-0.528</v>
      </c>
      <c r="M11" s="105">
        <v>29.56</v>
      </c>
      <c r="N11" s="118">
        <v>0.063</v>
      </c>
    </row>
    <row r="12" customHeight="1" spans="1:14">
      <c r="A12" s="102">
        <v>11</v>
      </c>
      <c r="B12" s="102" t="s">
        <v>361</v>
      </c>
      <c r="C12" s="108">
        <v>961</v>
      </c>
      <c r="D12" s="104">
        <v>-0.1256</v>
      </c>
      <c r="E12" s="108">
        <v>43.01</v>
      </c>
      <c r="F12" s="104">
        <v>0.0625</v>
      </c>
      <c r="H12" s="102">
        <v>36</v>
      </c>
      <c r="I12" s="113" t="s">
        <v>337</v>
      </c>
      <c r="J12" s="102" t="s">
        <v>362</v>
      </c>
      <c r="K12" s="102">
        <v>929</v>
      </c>
      <c r="L12" s="119" t="s">
        <v>340</v>
      </c>
      <c r="M12" s="102">
        <v>101.12</v>
      </c>
      <c r="N12" s="115">
        <v>-0.4621</v>
      </c>
    </row>
    <row r="13" customHeight="1" spans="1:14">
      <c r="A13" s="105">
        <v>12</v>
      </c>
      <c r="B13" s="105" t="s">
        <v>363</v>
      </c>
      <c r="C13" s="109">
        <v>794</v>
      </c>
      <c r="D13" s="107">
        <v>-0.7552</v>
      </c>
      <c r="E13" s="109">
        <v>36.1</v>
      </c>
      <c r="F13" s="107">
        <v>0.0424</v>
      </c>
      <c r="H13" s="105">
        <v>73</v>
      </c>
      <c r="I13" s="116" t="s">
        <v>344</v>
      </c>
      <c r="J13" s="105" t="s">
        <v>364</v>
      </c>
      <c r="K13" s="105">
        <v>923</v>
      </c>
      <c r="L13" s="118">
        <v>-0.1425</v>
      </c>
      <c r="M13" s="105">
        <v>119.19</v>
      </c>
      <c r="N13" s="118">
        <v>0.0397</v>
      </c>
    </row>
    <row r="14" customHeight="1" spans="1:14">
      <c r="A14" s="102">
        <v>13</v>
      </c>
      <c r="B14" s="102" t="s">
        <v>365</v>
      </c>
      <c r="C14" s="108">
        <v>776</v>
      </c>
      <c r="D14" s="104">
        <v>-0.0316</v>
      </c>
      <c r="E14" s="108">
        <v>189.06</v>
      </c>
      <c r="F14" s="104">
        <v>0.0431</v>
      </c>
      <c r="H14" s="102">
        <v>124</v>
      </c>
      <c r="I14" s="113" t="s">
        <v>352</v>
      </c>
      <c r="J14" s="102" t="s">
        <v>366</v>
      </c>
      <c r="K14" s="102">
        <v>909</v>
      </c>
      <c r="L14" s="115">
        <v>0.9006</v>
      </c>
      <c r="M14" s="102">
        <v>368.84</v>
      </c>
      <c r="N14" s="115">
        <v>0.0458</v>
      </c>
    </row>
    <row r="15" customHeight="1" spans="1:14">
      <c r="A15" s="105">
        <v>14</v>
      </c>
      <c r="B15" s="105" t="s">
        <v>367</v>
      </c>
      <c r="C15" s="109">
        <v>540</v>
      </c>
      <c r="D15" s="107">
        <v>-0.4074</v>
      </c>
      <c r="E15" s="109">
        <v>35.19</v>
      </c>
      <c r="F15" s="107">
        <v>0.0581</v>
      </c>
      <c r="H15" s="105">
        <v>42</v>
      </c>
      <c r="I15" s="116" t="s">
        <v>355</v>
      </c>
      <c r="J15" s="105" t="s">
        <v>368</v>
      </c>
      <c r="K15" s="105">
        <v>881</v>
      </c>
      <c r="L15" s="118">
        <v>-0.4816</v>
      </c>
      <c r="M15" s="105">
        <v>55.09</v>
      </c>
      <c r="N15" s="118">
        <v>0.0477</v>
      </c>
    </row>
    <row r="16" customHeight="1" spans="1:14">
      <c r="A16" s="102">
        <v>15</v>
      </c>
      <c r="B16" s="102" t="s">
        <v>369</v>
      </c>
      <c r="C16" s="108">
        <v>441</v>
      </c>
      <c r="D16" s="104">
        <v>-0.3779</v>
      </c>
      <c r="E16" s="108">
        <v>91.34</v>
      </c>
      <c r="F16" s="104">
        <v>0.0466</v>
      </c>
      <c r="H16" s="102">
        <v>18</v>
      </c>
      <c r="I16" s="113" t="s">
        <v>370</v>
      </c>
      <c r="J16" s="102" t="s">
        <v>371</v>
      </c>
      <c r="K16" s="102">
        <v>879</v>
      </c>
      <c r="L16" s="115">
        <v>-0.5602</v>
      </c>
      <c r="M16" s="102">
        <v>64.99</v>
      </c>
      <c r="N16" s="115">
        <v>0.0436</v>
      </c>
    </row>
    <row r="17" customHeight="1" spans="1:14">
      <c r="A17" s="105">
        <v>16</v>
      </c>
      <c r="B17" s="105" t="s">
        <v>372</v>
      </c>
      <c r="C17" s="109">
        <v>379</v>
      </c>
      <c r="D17" s="107">
        <v>-0.3598</v>
      </c>
      <c r="E17" s="109">
        <v>308</v>
      </c>
      <c r="F17" s="107">
        <v>0.0224</v>
      </c>
      <c r="H17" s="105">
        <v>66</v>
      </c>
      <c r="I17" s="116" t="s">
        <v>373</v>
      </c>
      <c r="J17" s="105" t="s">
        <v>374</v>
      </c>
      <c r="K17" s="105">
        <v>850</v>
      </c>
      <c r="L17" s="105" t="s">
        <v>339</v>
      </c>
      <c r="M17" s="105">
        <v>32.69</v>
      </c>
      <c r="N17" s="110" t="s">
        <v>340</v>
      </c>
    </row>
    <row r="18" customHeight="1" spans="1:14">
      <c r="A18" s="102">
        <v>17</v>
      </c>
      <c r="B18" s="102" t="s">
        <v>375</v>
      </c>
      <c r="C18" s="108">
        <v>375</v>
      </c>
      <c r="D18" s="104">
        <v>-0.3213</v>
      </c>
      <c r="E18" s="108">
        <v>367.47</v>
      </c>
      <c r="F18" s="104">
        <v>0.0173</v>
      </c>
      <c r="H18" s="102">
        <v>19</v>
      </c>
      <c r="I18" s="113" t="s">
        <v>370</v>
      </c>
      <c r="J18" s="102" t="s">
        <v>376</v>
      </c>
      <c r="K18" s="102">
        <v>818</v>
      </c>
      <c r="L18" s="119" t="s">
        <v>340</v>
      </c>
      <c r="M18" s="102">
        <v>205.12</v>
      </c>
      <c r="N18" s="115">
        <v>0.0358</v>
      </c>
    </row>
    <row r="19" customHeight="1" spans="1:14">
      <c r="A19" s="105">
        <v>18</v>
      </c>
      <c r="B19" s="105" t="s">
        <v>377</v>
      </c>
      <c r="C19" s="109">
        <v>175</v>
      </c>
      <c r="D19" s="107">
        <v>-0.3424</v>
      </c>
      <c r="E19" s="109">
        <v>21.01</v>
      </c>
      <c r="F19" s="107">
        <v>0.0338</v>
      </c>
      <c r="H19" s="105">
        <v>37</v>
      </c>
      <c r="I19" s="116" t="s">
        <v>337</v>
      </c>
      <c r="J19" s="105" t="s">
        <v>378</v>
      </c>
      <c r="K19" s="105">
        <v>815</v>
      </c>
      <c r="L19" s="110" t="s">
        <v>340</v>
      </c>
      <c r="M19" s="105">
        <v>225.14</v>
      </c>
      <c r="N19" s="118">
        <v>-0.2447</v>
      </c>
    </row>
    <row r="20" customHeight="1" spans="1:14">
      <c r="A20" s="102">
        <v>19</v>
      </c>
      <c r="B20" s="102" t="s">
        <v>379</v>
      </c>
      <c r="C20" s="108">
        <v>150</v>
      </c>
      <c r="D20" s="104">
        <v>-0.3542</v>
      </c>
      <c r="E20" s="108">
        <v>15.62</v>
      </c>
      <c r="F20" s="104">
        <v>0.0443</v>
      </c>
      <c r="H20" s="102">
        <v>125</v>
      </c>
      <c r="I20" s="113" t="s">
        <v>352</v>
      </c>
      <c r="J20" s="102" t="s">
        <v>380</v>
      </c>
      <c r="K20" s="102">
        <v>644</v>
      </c>
      <c r="L20" s="115">
        <v>-0.7599</v>
      </c>
      <c r="M20" s="102">
        <v>141.74</v>
      </c>
      <c r="N20" s="115">
        <v>0.0296</v>
      </c>
    </row>
    <row r="21" customHeight="1" spans="1:14">
      <c r="A21" s="105">
        <v>20</v>
      </c>
      <c r="B21" s="105" t="s">
        <v>381</v>
      </c>
      <c r="C21" s="109">
        <v>86</v>
      </c>
      <c r="D21" s="110" t="s">
        <v>340</v>
      </c>
      <c r="E21" s="109">
        <v>36.45</v>
      </c>
      <c r="F21" s="107">
        <v>0.0179</v>
      </c>
      <c r="H21" s="105">
        <v>140</v>
      </c>
      <c r="I21" s="116" t="s">
        <v>382</v>
      </c>
      <c r="J21" s="105" t="s">
        <v>383</v>
      </c>
      <c r="K21" s="105">
        <v>628</v>
      </c>
      <c r="L21" s="118">
        <v>-0.3775</v>
      </c>
      <c r="M21" s="105">
        <v>209.48</v>
      </c>
      <c r="N21" s="118">
        <v>0.0805</v>
      </c>
    </row>
    <row r="22" customHeight="1" spans="8:14">
      <c r="H22" s="102">
        <v>22</v>
      </c>
      <c r="I22" s="113" t="s">
        <v>384</v>
      </c>
      <c r="J22" s="102" t="s">
        <v>385</v>
      </c>
      <c r="K22" s="102">
        <v>620</v>
      </c>
      <c r="L22" s="119" t="s">
        <v>340</v>
      </c>
      <c r="M22" s="102">
        <v>126.39</v>
      </c>
      <c r="N22" s="119" t="s">
        <v>340</v>
      </c>
    </row>
    <row r="23" customHeight="1" spans="8:14">
      <c r="H23" s="105">
        <v>141</v>
      </c>
      <c r="I23" s="116" t="s">
        <v>382</v>
      </c>
      <c r="J23" s="105" t="s">
        <v>386</v>
      </c>
      <c r="K23" s="105">
        <v>604</v>
      </c>
      <c r="L23" s="118">
        <v>-0.3459</v>
      </c>
      <c r="M23" s="105">
        <v>101.01</v>
      </c>
      <c r="N23" s="118">
        <v>0.0542</v>
      </c>
    </row>
    <row r="24" customHeight="1" spans="8:14">
      <c r="H24" s="102">
        <v>43</v>
      </c>
      <c r="I24" s="113" t="s">
        <v>355</v>
      </c>
      <c r="J24" s="102" t="s">
        <v>387</v>
      </c>
      <c r="K24" s="102">
        <v>603</v>
      </c>
      <c r="L24" s="115">
        <v>-0.442</v>
      </c>
      <c r="M24" s="102">
        <v>26.95</v>
      </c>
      <c r="N24" s="115">
        <v>0.0555</v>
      </c>
    </row>
    <row r="25" customHeight="1" spans="8:14">
      <c r="H25" s="105">
        <v>38</v>
      </c>
      <c r="I25" s="116" t="s">
        <v>337</v>
      </c>
      <c r="J25" s="105" t="s">
        <v>388</v>
      </c>
      <c r="K25" s="105">
        <v>599</v>
      </c>
      <c r="L25" s="110" t="s">
        <v>340</v>
      </c>
      <c r="M25" s="105">
        <v>28.52</v>
      </c>
      <c r="N25" s="118">
        <v>-0.5315</v>
      </c>
    </row>
    <row r="26" customHeight="1" spans="8:14">
      <c r="H26" s="102">
        <v>67</v>
      </c>
      <c r="I26" s="113" t="s">
        <v>373</v>
      </c>
      <c r="J26" s="102" t="s">
        <v>389</v>
      </c>
      <c r="K26" s="102">
        <v>562</v>
      </c>
      <c r="L26" s="119" t="s">
        <v>340</v>
      </c>
      <c r="M26" s="102">
        <v>22.4</v>
      </c>
      <c r="N26" s="115">
        <v>-0.3071</v>
      </c>
    </row>
    <row r="27" customHeight="1" spans="8:14">
      <c r="H27" s="105">
        <v>23</v>
      </c>
      <c r="I27" s="116" t="s">
        <v>384</v>
      </c>
      <c r="J27" s="105" t="s">
        <v>390</v>
      </c>
      <c r="K27" s="105">
        <v>545</v>
      </c>
      <c r="L27" s="110" t="s">
        <v>340</v>
      </c>
      <c r="M27" s="105">
        <v>100.06</v>
      </c>
      <c r="N27" s="110" t="s">
        <v>340</v>
      </c>
    </row>
    <row r="28" customHeight="1" spans="8:14">
      <c r="H28" s="102">
        <v>20</v>
      </c>
      <c r="I28" s="113" t="s">
        <v>370</v>
      </c>
      <c r="J28" s="102" t="s">
        <v>391</v>
      </c>
      <c r="K28" s="102">
        <v>526</v>
      </c>
      <c r="L28" s="119" t="s">
        <v>340</v>
      </c>
      <c r="M28" s="102">
        <v>64.29</v>
      </c>
      <c r="N28" s="115">
        <v>0.0448</v>
      </c>
    </row>
    <row r="29" customHeight="1" spans="8:14">
      <c r="H29" s="105">
        <v>81</v>
      </c>
      <c r="I29" s="116" t="s">
        <v>392</v>
      </c>
      <c r="J29" s="105" t="s">
        <v>393</v>
      </c>
      <c r="K29" s="105">
        <v>523</v>
      </c>
      <c r="L29" s="118">
        <v>-0.1767</v>
      </c>
      <c r="M29" s="105">
        <v>43.86</v>
      </c>
      <c r="N29" s="118">
        <v>0.0549</v>
      </c>
    </row>
    <row r="30" customHeight="1" spans="8:14">
      <c r="H30" s="102">
        <v>111</v>
      </c>
      <c r="I30" s="113" t="s">
        <v>349</v>
      </c>
      <c r="J30" s="102" t="s">
        <v>394</v>
      </c>
      <c r="K30" s="102">
        <v>485</v>
      </c>
      <c r="L30" s="102">
        <v>136.99</v>
      </c>
      <c r="M30" s="115">
        <v>0.0664</v>
      </c>
      <c r="N30" s="115">
        <v>-0.1706</v>
      </c>
    </row>
    <row r="31" customHeight="1" spans="8:14">
      <c r="H31" s="105">
        <v>74</v>
      </c>
      <c r="I31" s="116" t="s">
        <v>344</v>
      </c>
      <c r="J31" s="105" t="s">
        <v>395</v>
      </c>
      <c r="K31" s="105">
        <v>411</v>
      </c>
      <c r="L31" s="118">
        <v>-0.6099</v>
      </c>
      <c r="M31" s="105">
        <v>53.13</v>
      </c>
      <c r="N31" s="118">
        <v>0.0533</v>
      </c>
    </row>
    <row r="32" customHeight="1" spans="8:14">
      <c r="H32" s="102">
        <v>126</v>
      </c>
      <c r="I32" s="113" t="s">
        <v>352</v>
      </c>
      <c r="J32" s="102" t="s">
        <v>396</v>
      </c>
      <c r="K32" s="102">
        <v>405</v>
      </c>
      <c r="L32" s="115">
        <v>-0.0518</v>
      </c>
      <c r="M32" s="102">
        <v>153.77</v>
      </c>
      <c r="N32" s="115">
        <v>0.0317</v>
      </c>
    </row>
    <row r="33" customHeight="1" spans="8:14">
      <c r="H33" s="105">
        <v>112</v>
      </c>
      <c r="I33" s="116" t="s">
        <v>349</v>
      </c>
      <c r="J33" s="105" t="s">
        <v>397</v>
      </c>
      <c r="K33" s="105">
        <v>397</v>
      </c>
      <c r="L33" s="105">
        <v>28.23</v>
      </c>
      <c r="M33" s="118">
        <v>0.082</v>
      </c>
      <c r="N33" s="118">
        <v>-0.2593</v>
      </c>
    </row>
    <row r="34" customHeight="1" spans="8:14">
      <c r="H34" s="102">
        <v>75</v>
      </c>
      <c r="I34" s="113" t="s">
        <v>344</v>
      </c>
      <c r="J34" s="102" t="s">
        <v>398</v>
      </c>
      <c r="K34" s="102">
        <v>387</v>
      </c>
      <c r="L34" s="115">
        <v>-0.3336</v>
      </c>
      <c r="M34" s="102">
        <v>36.12</v>
      </c>
      <c r="N34" s="115">
        <v>0.0656</v>
      </c>
    </row>
    <row r="35" customHeight="1" spans="8:14">
      <c r="H35" s="105">
        <v>76</v>
      </c>
      <c r="I35" s="116" t="s">
        <v>344</v>
      </c>
      <c r="J35" s="105" t="s">
        <v>399</v>
      </c>
      <c r="K35" s="105">
        <v>349</v>
      </c>
      <c r="L35" s="118">
        <v>-0.1421</v>
      </c>
      <c r="M35" s="105">
        <v>162.44</v>
      </c>
      <c r="N35" s="118">
        <v>0.0569</v>
      </c>
    </row>
    <row r="36" customHeight="1" spans="8:14">
      <c r="H36" s="102">
        <v>77</v>
      </c>
      <c r="I36" s="113" t="s">
        <v>344</v>
      </c>
      <c r="J36" s="102" t="s">
        <v>400</v>
      </c>
      <c r="K36" s="102">
        <v>349</v>
      </c>
      <c r="L36" s="115">
        <v>-0.3999</v>
      </c>
      <c r="M36" s="102">
        <v>208.74</v>
      </c>
      <c r="N36" s="115">
        <v>0.0296</v>
      </c>
    </row>
    <row r="37" customHeight="1" spans="8:14">
      <c r="H37" s="105">
        <v>142</v>
      </c>
      <c r="I37" s="116" t="s">
        <v>382</v>
      </c>
      <c r="J37" s="105" t="s">
        <v>401</v>
      </c>
      <c r="K37" s="105">
        <v>340</v>
      </c>
      <c r="L37" s="118">
        <v>-0.2123</v>
      </c>
      <c r="M37" s="105">
        <v>38.95</v>
      </c>
      <c r="N37" s="118">
        <v>0.0566</v>
      </c>
    </row>
    <row r="38" customHeight="1" spans="8:14">
      <c r="H38" s="102">
        <v>105</v>
      </c>
      <c r="I38" s="113" t="s">
        <v>334</v>
      </c>
      <c r="J38" s="102" t="s">
        <v>402</v>
      </c>
      <c r="K38" s="102">
        <v>337</v>
      </c>
      <c r="L38" s="119" t="s">
        <v>340</v>
      </c>
      <c r="M38" s="102">
        <v>38.81</v>
      </c>
      <c r="N38" s="115">
        <v>0.0394</v>
      </c>
    </row>
    <row r="39" customHeight="1" spans="8:14">
      <c r="H39" s="105">
        <v>44</v>
      </c>
      <c r="I39" s="116" t="s">
        <v>355</v>
      </c>
      <c r="J39" s="105" t="s">
        <v>403</v>
      </c>
      <c r="K39" s="105">
        <v>329</v>
      </c>
      <c r="L39" s="118">
        <v>-0.4892</v>
      </c>
      <c r="M39" s="105">
        <v>23.42</v>
      </c>
      <c r="N39" s="118">
        <v>0.0479</v>
      </c>
    </row>
    <row r="40" customHeight="1" spans="8:14">
      <c r="H40" s="102">
        <v>78</v>
      </c>
      <c r="I40" s="113" t="s">
        <v>344</v>
      </c>
      <c r="J40" s="102" t="s">
        <v>404</v>
      </c>
      <c r="K40" s="102">
        <v>328</v>
      </c>
      <c r="L40" s="115">
        <v>0.4331</v>
      </c>
      <c r="M40" s="102">
        <v>62.78</v>
      </c>
      <c r="N40" s="115">
        <v>0.0469</v>
      </c>
    </row>
    <row r="41" customHeight="1" spans="8:14">
      <c r="H41" s="105">
        <v>45</v>
      </c>
      <c r="I41" s="116" t="s">
        <v>355</v>
      </c>
      <c r="J41" s="105" t="s">
        <v>405</v>
      </c>
      <c r="K41" s="105">
        <v>324</v>
      </c>
      <c r="L41" s="118">
        <v>-0.1833</v>
      </c>
      <c r="M41" s="105">
        <v>39.25</v>
      </c>
      <c r="N41" s="118">
        <v>0.0625</v>
      </c>
    </row>
    <row r="42" customHeight="1" spans="8:14">
      <c r="H42" s="102">
        <v>24</v>
      </c>
      <c r="I42" s="113" t="s">
        <v>384</v>
      </c>
      <c r="J42" s="102" t="s">
        <v>406</v>
      </c>
      <c r="K42" s="102">
        <v>321</v>
      </c>
      <c r="L42" s="119" t="s">
        <v>340</v>
      </c>
      <c r="M42" s="102">
        <v>101.58</v>
      </c>
      <c r="N42" s="115">
        <v>-0.5683</v>
      </c>
    </row>
    <row r="43" customHeight="1" spans="8:14">
      <c r="H43" s="105">
        <v>25</v>
      </c>
      <c r="I43" s="116" t="s">
        <v>384</v>
      </c>
      <c r="J43" s="105" t="s">
        <v>407</v>
      </c>
      <c r="K43" s="105">
        <v>296</v>
      </c>
      <c r="L43" s="110" t="s">
        <v>340</v>
      </c>
      <c r="M43" s="105">
        <v>166.27</v>
      </c>
      <c r="N43" s="118">
        <v>-0.1904</v>
      </c>
    </row>
    <row r="44" customHeight="1" spans="8:14">
      <c r="H44" s="102">
        <v>21</v>
      </c>
      <c r="I44" s="113" t="s">
        <v>370</v>
      </c>
      <c r="J44" s="102" t="s">
        <v>408</v>
      </c>
      <c r="K44" s="102">
        <v>274</v>
      </c>
      <c r="L44" s="119" t="s">
        <v>340</v>
      </c>
      <c r="M44" s="102">
        <v>18.38</v>
      </c>
      <c r="N44" s="115">
        <v>0.059</v>
      </c>
    </row>
    <row r="45" customHeight="1" spans="8:14">
      <c r="H45" s="105">
        <v>82</v>
      </c>
      <c r="I45" s="116" t="s">
        <v>392</v>
      </c>
      <c r="J45" s="105" t="s">
        <v>409</v>
      </c>
      <c r="K45" s="105">
        <v>269</v>
      </c>
      <c r="L45" s="118">
        <v>-0.0108</v>
      </c>
      <c r="M45" s="105">
        <v>21.91</v>
      </c>
      <c r="N45" s="118">
        <v>0.0795</v>
      </c>
    </row>
    <row r="46" customHeight="1" spans="8:14">
      <c r="H46" s="102">
        <v>1</v>
      </c>
      <c r="I46" s="102" t="s">
        <v>410</v>
      </c>
      <c r="J46" s="102" t="s">
        <v>411</v>
      </c>
      <c r="K46" s="102">
        <v>261</v>
      </c>
      <c r="L46" s="115">
        <v>-0.4463</v>
      </c>
      <c r="M46" s="102">
        <v>24.48</v>
      </c>
      <c r="N46" s="115">
        <v>0.0519</v>
      </c>
    </row>
    <row r="47" customHeight="1" spans="8:14">
      <c r="H47" s="105">
        <v>83</v>
      </c>
      <c r="I47" s="116" t="s">
        <v>392</v>
      </c>
      <c r="J47" s="105" t="s">
        <v>412</v>
      </c>
      <c r="K47" s="105">
        <v>260</v>
      </c>
      <c r="L47" s="118">
        <v>-0.1993</v>
      </c>
      <c r="M47" s="105">
        <v>32.25</v>
      </c>
      <c r="N47" s="118">
        <v>0.0482</v>
      </c>
    </row>
    <row r="48" customHeight="1" spans="8:14">
      <c r="H48" s="102">
        <v>143</v>
      </c>
      <c r="I48" s="113" t="s">
        <v>382</v>
      </c>
      <c r="J48" s="102" t="s">
        <v>413</v>
      </c>
      <c r="K48" s="102">
        <v>256</v>
      </c>
      <c r="L48" s="115">
        <v>-0.4251</v>
      </c>
      <c r="M48" s="102">
        <v>53.54</v>
      </c>
      <c r="N48" s="115">
        <v>0.0602</v>
      </c>
    </row>
    <row r="49" customHeight="1" spans="8:14">
      <c r="H49" s="105">
        <v>68</v>
      </c>
      <c r="I49" s="116" t="s">
        <v>373</v>
      </c>
      <c r="J49" s="105" t="s">
        <v>414</v>
      </c>
      <c r="K49" s="105">
        <v>241</v>
      </c>
      <c r="L49" s="110" t="s">
        <v>340</v>
      </c>
      <c r="M49" s="105">
        <v>22.24</v>
      </c>
      <c r="N49" s="118">
        <v>-0.0964</v>
      </c>
    </row>
    <row r="50" customHeight="1" spans="8:14">
      <c r="H50" s="102">
        <v>84</v>
      </c>
      <c r="I50" s="113" t="s">
        <v>392</v>
      </c>
      <c r="J50" s="102" t="s">
        <v>415</v>
      </c>
      <c r="K50" s="102">
        <v>233</v>
      </c>
      <c r="L50" s="115">
        <v>0.0547</v>
      </c>
      <c r="M50" s="102">
        <v>39.05</v>
      </c>
      <c r="N50" s="115">
        <v>0.0741</v>
      </c>
    </row>
    <row r="51" customHeight="1" spans="8:14">
      <c r="H51" s="105">
        <v>26</v>
      </c>
      <c r="I51" s="116" t="s">
        <v>384</v>
      </c>
      <c r="J51" s="105" t="s">
        <v>416</v>
      </c>
      <c r="K51" s="105">
        <v>232</v>
      </c>
      <c r="L51" s="110" t="s">
        <v>340</v>
      </c>
      <c r="M51" s="105">
        <v>78.67</v>
      </c>
      <c r="N51" s="110" t="s">
        <v>340</v>
      </c>
    </row>
    <row r="52" customHeight="1" spans="8:14">
      <c r="H52" s="102">
        <v>88</v>
      </c>
      <c r="I52" s="113" t="s">
        <v>417</v>
      </c>
      <c r="J52" s="102" t="s">
        <v>418</v>
      </c>
      <c r="K52" s="102">
        <v>232</v>
      </c>
      <c r="L52" s="115">
        <v>-0.429</v>
      </c>
      <c r="M52" s="102">
        <v>255.41</v>
      </c>
      <c r="N52" s="115">
        <v>0.0216</v>
      </c>
    </row>
    <row r="53" customHeight="1" spans="8:14">
      <c r="H53" s="105">
        <v>113</v>
      </c>
      <c r="I53" s="116" t="s">
        <v>349</v>
      </c>
      <c r="J53" s="105" t="s">
        <v>419</v>
      </c>
      <c r="K53" s="105">
        <v>229</v>
      </c>
      <c r="L53" s="105">
        <v>38.06</v>
      </c>
      <c r="M53" s="118">
        <v>0.0685</v>
      </c>
      <c r="N53" s="118">
        <v>-0.078</v>
      </c>
    </row>
    <row r="54" customHeight="1" spans="8:14">
      <c r="H54" s="102">
        <v>114</v>
      </c>
      <c r="I54" s="113" t="s">
        <v>349</v>
      </c>
      <c r="J54" s="102" t="s">
        <v>420</v>
      </c>
      <c r="K54" s="102">
        <v>224</v>
      </c>
      <c r="L54" s="102">
        <v>30.98</v>
      </c>
      <c r="M54" s="115">
        <v>0.0463</v>
      </c>
      <c r="N54" s="115">
        <v>-0.5008</v>
      </c>
    </row>
    <row r="55" customHeight="1" spans="8:14">
      <c r="H55" s="105">
        <v>127</v>
      </c>
      <c r="I55" s="116" t="s">
        <v>352</v>
      </c>
      <c r="J55" s="105" t="s">
        <v>421</v>
      </c>
      <c r="K55" s="105">
        <v>212</v>
      </c>
      <c r="L55" s="110" t="s">
        <v>340</v>
      </c>
      <c r="M55" s="105">
        <v>36.92</v>
      </c>
      <c r="N55" s="118">
        <v>0.0334</v>
      </c>
    </row>
    <row r="56" customHeight="1" spans="8:14">
      <c r="H56" s="102">
        <v>89</v>
      </c>
      <c r="I56" s="113" t="s">
        <v>417</v>
      </c>
      <c r="J56" s="102" t="s">
        <v>422</v>
      </c>
      <c r="K56" s="102">
        <v>183</v>
      </c>
      <c r="L56" s="115">
        <v>-0.291</v>
      </c>
      <c r="M56" s="102">
        <v>341.79</v>
      </c>
      <c r="N56" s="115">
        <v>0.0191</v>
      </c>
    </row>
    <row r="57" customHeight="1" spans="8:14">
      <c r="H57" s="105">
        <v>115</v>
      </c>
      <c r="I57" s="116" t="s">
        <v>349</v>
      </c>
      <c r="J57" s="105" t="s">
        <v>423</v>
      </c>
      <c r="K57" s="105">
        <v>183</v>
      </c>
      <c r="L57" s="105">
        <v>28.92</v>
      </c>
      <c r="M57" s="118">
        <v>0.0548</v>
      </c>
      <c r="N57" s="118">
        <v>-0.3647</v>
      </c>
    </row>
    <row r="58" customHeight="1" spans="8:14">
      <c r="H58" s="102">
        <v>85</v>
      </c>
      <c r="I58" s="113" t="s">
        <v>392</v>
      </c>
      <c r="J58" s="102" t="s">
        <v>424</v>
      </c>
      <c r="K58" s="102">
        <v>175</v>
      </c>
      <c r="L58" s="115">
        <v>-0.2066</v>
      </c>
      <c r="M58" s="102">
        <v>20.7</v>
      </c>
      <c r="N58" s="115">
        <v>0.0757</v>
      </c>
    </row>
    <row r="59" customHeight="1" spans="8:14">
      <c r="H59" s="105">
        <v>106</v>
      </c>
      <c r="I59" s="116" t="s">
        <v>334</v>
      </c>
      <c r="J59" s="105" t="s">
        <v>425</v>
      </c>
      <c r="K59" s="105">
        <v>172</v>
      </c>
      <c r="L59" s="110" t="s">
        <v>340</v>
      </c>
      <c r="M59" s="105">
        <v>43.6</v>
      </c>
      <c r="N59" s="118">
        <v>0.0423</v>
      </c>
    </row>
    <row r="60" customHeight="1" spans="8:14">
      <c r="H60" s="102">
        <v>27</v>
      </c>
      <c r="I60" s="113" t="s">
        <v>384</v>
      </c>
      <c r="J60" s="102" t="s">
        <v>426</v>
      </c>
      <c r="K60" s="102">
        <v>168</v>
      </c>
      <c r="L60" s="119" t="s">
        <v>340</v>
      </c>
      <c r="M60" s="102">
        <v>145.67</v>
      </c>
      <c r="N60" s="115">
        <v>0.0457</v>
      </c>
    </row>
    <row r="61" customHeight="1" spans="8:14">
      <c r="H61" s="105">
        <v>79</v>
      </c>
      <c r="I61" s="116" t="s">
        <v>344</v>
      </c>
      <c r="J61" s="105" t="s">
        <v>427</v>
      </c>
      <c r="K61" s="105">
        <v>166</v>
      </c>
      <c r="L61" s="118">
        <v>0.1853</v>
      </c>
      <c r="M61" s="105">
        <v>118.2</v>
      </c>
      <c r="N61" s="118">
        <v>0.0235</v>
      </c>
    </row>
    <row r="62" customHeight="1" spans="8:14">
      <c r="H62" s="102">
        <v>107</v>
      </c>
      <c r="I62" s="113" t="s">
        <v>334</v>
      </c>
      <c r="J62" s="102" t="s">
        <v>428</v>
      </c>
      <c r="K62" s="102">
        <v>152</v>
      </c>
      <c r="L62" s="115">
        <v>-0.6953</v>
      </c>
      <c r="M62" s="102">
        <v>32.72</v>
      </c>
      <c r="N62" s="115">
        <v>0.0383</v>
      </c>
    </row>
    <row r="63" customHeight="1" spans="8:14">
      <c r="H63" s="105">
        <v>108</v>
      </c>
      <c r="I63" s="116" t="s">
        <v>334</v>
      </c>
      <c r="J63" s="105" t="s">
        <v>429</v>
      </c>
      <c r="K63" s="105">
        <v>147</v>
      </c>
      <c r="L63" s="118">
        <v>-0.6217</v>
      </c>
      <c r="M63" s="105">
        <v>45.28</v>
      </c>
      <c r="N63" s="118">
        <v>0.0353</v>
      </c>
    </row>
    <row r="64" customHeight="1" spans="8:14">
      <c r="H64" s="102">
        <v>2</v>
      </c>
      <c r="I64" s="102" t="s">
        <v>410</v>
      </c>
      <c r="J64" s="102" t="s">
        <v>430</v>
      </c>
      <c r="K64" s="102">
        <v>143</v>
      </c>
      <c r="L64" s="115">
        <v>-0.2227</v>
      </c>
      <c r="M64" s="102">
        <v>25.14</v>
      </c>
      <c r="N64" s="115">
        <v>0.0675</v>
      </c>
    </row>
    <row r="65" customHeight="1" spans="8:14">
      <c r="H65" s="105">
        <v>28</v>
      </c>
      <c r="I65" s="116" t="s">
        <v>384</v>
      </c>
      <c r="J65" s="105" t="s">
        <v>431</v>
      </c>
      <c r="K65" s="105">
        <v>136</v>
      </c>
      <c r="L65" s="110" t="s">
        <v>340</v>
      </c>
      <c r="M65" s="105">
        <v>35.76</v>
      </c>
      <c r="N65" s="118">
        <v>-0.9037</v>
      </c>
    </row>
    <row r="66" customHeight="1" spans="8:14">
      <c r="H66" s="102">
        <v>144</v>
      </c>
      <c r="I66" s="113" t="s">
        <v>382</v>
      </c>
      <c r="J66" s="102" t="s">
        <v>432</v>
      </c>
      <c r="K66" s="102">
        <v>134</v>
      </c>
      <c r="L66" s="115">
        <v>-0.4162</v>
      </c>
      <c r="M66" s="102">
        <v>55.55</v>
      </c>
      <c r="N66" s="115">
        <v>0.0521</v>
      </c>
    </row>
    <row r="67" customHeight="1" spans="8:14">
      <c r="H67" s="105">
        <v>98</v>
      </c>
      <c r="I67" s="116" t="s">
        <v>433</v>
      </c>
      <c r="J67" s="105" t="s">
        <v>434</v>
      </c>
      <c r="K67" s="105">
        <v>125</v>
      </c>
      <c r="L67" s="118">
        <v>-0.3691</v>
      </c>
      <c r="M67" s="105">
        <v>15.68</v>
      </c>
      <c r="N67" s="121">
        <v>0.04</v>
      </c>
    </row>
    <row r="68" customHeight="1" spans="8:14">
      <c r="H68" s="102">
        <v>134</v>
      </c>
      <c r="I68" s="113" t="s">
        <v>435</v>
      </c>
      <c r="J68" s="102" t="s">
        <v>436</v>
      </c>
      <c r="K68" s="102">
        <v>121</v>
      </c>
      <c r="L68" s="115">
        <v>-0.4185</v>
      </c>
      <c r="M68" s="102">
        <v>13.74</v>
      </c>
      <c r="N68" s="115">
        <v>0.051</v>
      </c>
    </row>
    <row r="69" customHeight="1" spans="8:14">
      <c r="H69" s="105">
        <v>46</v>
      </c>
      <c r="I69" s="116" t="s">
        <v>355</v>
      </c>
      <c r="J69" s="105" t="s">
        <v>437</v>
      </c>
      <c r="K69" s="105">
        <v>118</v>
      </c>
      <c r="L69" s="118">
        <v>-0.9655</v>
      </c>
      <c r="M69" s="105">
        <v>15.08</v>
      </c>
      <c r="N69" s="118">
        <v>0.0406</v>
      </c>
    </row>
    <row r="70" customHeight="1" spans="8:14">
      <c r="H70" s="102">
        <v>86</v>
      </c>
      <c r="I70" s="113" t="s">
        <v>392</v>
      </c>
      <c r="J70" s="102" t="s">
        <v>438</v>
      </c>
      <c r="K70" s="102">
        <v>118</v>
      </c>
      <c r="L70" s="115">
        <v>-0.126</v>
      </c>
      <c r="M70" s="102">
        <v>9.23</v>
      </c>
      <c r="N70" s="115">
        <v>0.0743</v>
      </c>
    </row>
    <row r="71" customHeight="1" spans="8:14">
      <c r="H71" s="105">
        <v>116</v>
      </c>
      <c r="I71" s="116" t="s">
        <v>349</v>
      </c>
      <c r="J71" s="105" t="s">
        <v>439</v>
      </c>
      <c r="K71" s="105">
        <v>115</v>
      </c>
      <c r="L71" s="105">
        <v>14.05</v>
      </c>
      <c r="M71" s="118">
        <v>0.0533</v>
      </c>
      <c r="N71" s="118">
        <v>-0.2004</v>
      </c>
    </row>
    <row r="72" customHeight="1" spans="8:14">
      <c r="H72" s="102">
        <v>109</v>
      </c>
      <c r="I72" s="113" t="s">
        <v>334</v>
      </c>
      <c r="J72" s="102" t="s">
        <v>440</v>
      </c>
      <c r="K72" s="102">
        <v>112</v>
      </c>
      <c r="L72" s="115">
        <v>0.0617</v>
      </c>
      <c r="M72" s="102">
        <v>168.98</v>
      </c>
      <c r="N72" s="115">
        <v>0.0424</v>
      </c>
    </row>
    <row r="73" customHeight="1" spans="8:14">
      <c r="H73" s="105">
        <v>3</v>
      </c>
      <c r="I73" s="105" t="s">
        <v>410</v>
      </c>
      <c r="J73" s="105" t="s">
        <v>441</v>
      </c>
      <c r="K73" s="105">
        <v>111</v>
      </c>
      <c r="L73" s="118">
        <v>-0.3523</v>
      </c>
      <c r="M73" s="105">
        <v>61.04</v>
      </c>
      <c r="N73" s="118">
        <v>0.0385</v>
      </c>
    </row>
    <row r="74" customHeight="1" spans="8:14">
      <c r="H74" s="102">
        <v>4</v>
      </c>
      <c r="I74" s="102" t="s">
        <v>410</v>
      </c>
      <c r="J74" s="102" t="s">
        <v>442</v>
      </c>
      <c r="K74" s="102">
        <v>110</v>
      </c>
      <c r="L74" s="115">
        <v>-0.6631</v>
      </c>
      <c r="M74" s="102">
        <v>20.47</v>
      </c>
      <c r="N74" s="115">
        <v>0.0451</v>
      </c>
    </row>
    <row r="75" customHeight="1" spans="8:14">
      <c r="H75" s="105">
        <v>47</v>
      </c>
      <c r="I75" s="116" t="s">
        <v>355</v>
      </c>
      <c r="J75" s="105" t="s">
        <v>443</v>
      </c>
      <c r="K75" s="105">
        <v>110</v>
      </c>
      <c r="L75" s="110" t="s">
        <v>340</v>
      </c>
      <c r="M75" s="105">
        <v>12.34</v>
      </c>
      <c r="N75" s="118">
        <v>0.049</v>
      </c>
    </row>
    <row r="76" customHeight="1" spans="8:14">
      <c r="H76" s="102">
        <v>128</v>
      </c>
      <c r="I76" s="113" t="s">
        <v>352</v>
      </c>
      <c r="J76" s="102" t="s">
        <v>444</v>
      </c>
      <c r="K76" s="102">
        <v>110</v>
      </c>
      <c r="L76" s="115">
        <v>-0.043</v>
      </c>
      <c r="M76" s="102">
        <v>30.98</v>
      </c>
      <c r="N76" s="115">
        <v>0.052</v>
      </c>
    </row>
    <row r="77" customHeight="1" spans="8:14">
      <c r="H77" s="105">
        <v>129</v>
      </c>
      <c r="I77" s="116" t="s">
        <v>352</v>
      </c>
      <c r="J77" s="105" t="s">
        <v>445</v>
      </c>
      <c r="K77" s="105">
        <v>109</v>
      </c>
      <c r="L77" s="118">
        <v>0.3088</v>
      </c>
      <c r="M77" s="105">
        <v>56.41</v>
      </c>
      <c r="N77" s="118">
        <v>0.0418</v>
      </c>
    </row>
    <row r="78" customHeight="1" spans="8:14">
      <c r="H78" s="102">
        <v>130</v>
      </c>
      <c r="I78" s="113" t="s">
        <v>352</v>
      </c>
      <c r="J78" s="102" t="s">
        <v>446</v>
      </c>
      <c r="K78" s="102">
        <v>109</v>
      </c>
      <c r="L78" s="115">
        <v>-0.109</v>
      </c>
      <c r="M78" s="102">
        <v>38.92</v>
      </c>
      <c r="N78" s="115">
        <v>0.0503</v>
      </c>
    </row>
    <row r="79" customHeight="1" spans="8:14">
      <c r="H79" s="105">
        <v>48</v>
      </c>
      <c r="I79" s="116" t="s">
        <v>355</v>
      </c>
      <c r="J79" s="105" t="s">
        <v>447</v>
      </c>
      <c r="K79" s="105">
        <v>105</v>
      </c>
      <c r="L79" s="110" t="s">
        <v>340</v>
      </c>
      <c r="M79" s="105">
        <v>10.77</v>
      </c>
      <c r="N79" s="118">
        <v>0.0407</v>
      </c>
    </row>
    <row r="80" customHeight="1" spans="8:14">
      <c r="H80" s="102">
        <v>5</v>
      </c>
      <c r="I80" s="102" t="s">
        <v>410</v>
      </c>
      <c r="J80" s="102" t="s">
        <v>448</v>
      </c>
      <c r="K80" s="102">
        <v>101</v>
      </c>
      <c r="L80" s="115">
        <v>-0.645</v>
      </c>
      <c r="M80" s="102">
        <v>56.41</v>
      </c>
      <c r="N80" s="115">
        <v>0.0576</v>
      </c>
    </row>
    <row r="81" customHeight="1" spans="8:14">
      <c r="H81" s="105">
        <v>6</v>
      </c>
      <c r="I81" s="105" t="s">
        <v>410</v>
      </c>
      <c r="J81" s="105" t="s">
        <v>449</v>
      </c>
      <c r="K81" s="105">
        <v>100</v>
      </c>
      <c r="L81" s="118">
        <v>-0.4604</v>
      </c>
      <c r="M81" s="105">
        <v>19.93</v>
      </c>
      <c r="N81" s="118">
        <v>0.039</v>
      </c>
    </row>
    <row r="82" customHeight="1" spans="8:14">
      <c r="H82" s="102">
        <v>87</v>
      </c>
      <c r="I82" s="113" t="s">
        <v>392</v>
      </c>
      <c r="J82" s="102" t="s">
        <v>450</v>
      </c>
      <c r="K82" s="102">
        <v>98</v>
      </c>
      <c r="L82" s="115">
        <v>-0.0805</v>
      </c>
      <c r="M82" s="102">
        <v>11.18</v>
      </c>
      <c r="N82" s="115">
        <v>0.0664</v>
      </c>
    </row>
    <row r="83" customHeight="1" spans="8:14">
      <c r="H83" s="105">
        <v>49</v>
      </c>
      <c r="I83" s="116" t="s">
        <v>355</v>
      </c>
      <c r="J83" s="105" t="s">
        <v>451</v>
      </c>
      <c r="K83" s="105">
        <v>96</v>
      </c>
      <c r="L83" s="118">
        <v>-0.9125</v>
      </c>
      <c r="M83" s="105">
        <v>28.42</v>
      </c>
      <c r="N83" s="118">
        <v>0.0275</v>
      </c>
    </row>
    <row r="84" customHeight="1" spans="8:14">
      <c r="H84" s="102">
        <v>7</v>
      </c>
      <c r="I84" s="102" t="s">
        <v>410</v>
      </c>
      <c r="J84" s="102" t="s">
        <v>452</v>
      </c>
      <c r="K84" s="102">
        <v>95</v>
      </c>
      <c r="L84" s="115">
        <v>-0.4014</v>
      </c>
      <c r="M84" s="102">
        <v>13.11</v>
      </c>
      <c r="N84" s="115">
        <v>0.0985</v>
      </c>
    </row>
    <row r="85" customHeight="1" spans="8:14">
      <c r="H85" s="105">
        <v>8</v>
      </c>
      <c r="I85" s="105" t="s">
        <v>410</v>
      </c>
      <c r="J85" s="105" t="s">
        <v>453</v>
      </c>
      <c r="K85" s="105">
        <v>89</v>
      </c>
      <c r="L85" s="118">
        <v>-0.1005</v>
      </c>
      <c r="M85" s="105">
        <v>41.32</v>
      </c>
      <c r="N85" s="118">
        <v>0.0695</v>
      </c>
    </row>
    <row r="86" customHeight="1" spans="8:14">
      <c r="H86" s="102">
        <v>131</v>
      </c>
      <c r="I86" s="113" t="s">
        <v>352</v>
      </c>
      <c r="J86" s="102" t="s">
        <v>454</v>
      </c>
      <c r="K86" s="102">
        <v>89</v>
      </c>
      <c r="L86" s="115">
        <v>-0.1841</v>
      </c>
      <c r="M86" s="102">
        <v>36.81</v>
      </c>
      <c r="N86" s="115">
        <v>0.0281</v>
      </c>
    </row>
    <row r="87" customHeight="1" spans="8:14">
      <c r="H87" s="105">
        <v>145</v>
      </c>
      <c r="I87" s="116" t="s">
        <v>382</v>
      </c>
      <c r="J87" s="105" t="s">
        <v>455</v>
      </c>
      <c r="K87" s="105">
        <v>84</v>
      </c>
      <c r="L87" s="118">
        <v>-0.1027</v>
      </c>
      <c r="M87" s="105">
        <v>60.03</v>
      </c>
      <c r="N87" s="118">
        <v>0.0515</v>
      </c>
    </row>
    <row r="88" customHeight="1" spans="8:14">
      <c r="H88" s="102">
        <v>117</v>
      </c>
      <c r="I88" s="113" t="s">
        <v>349</v>
      </c>
      <c r="J88" s="102" t="s">
        <v>456</v>
      </c>
      <c r="K88" s="102">
        <v>81</v>
      </c>
      <c r="L88" s="102">
        <v>26.5</v>
      </c>
      <c r="M88" s="115">
        <v>0.0389</v>
      </c>
      <c r="N88" s="115">
        <v>0.1916</v>
      </c>
    </row>
    <row r="89" customHeight="1" spans="8:14">
      <c r="H89" s="105">
        <v>39</v>
      </c>
      <c r="I89" s="116" t="s">
        <v>337</v>
      </c>
      <c r="J89" s="105" t="s">
        <v>457</v>
      </c>
      <c r="K89" s="105">
        <v>75</v>
      </c>
      <c r="L89" s="110" t="s">
        <v>340</v>
      </c>
      <c r="M89" s="105">
        <v>37.8</v>
      </c>
      <c r="N89" s="118">
        <v>-0.9964</v>
      </c>
    </row>
    <row r="90" customHeight="1" spans="8:14">
      <c r="H90" s="102">
        <v>132</v>
      </c>
      <c r="I90" s="113" t="s">
        <v>352</v>
      </c>
      <c r="J90" s="102" t="s">
        <v>458</v>
      </c>
      <c r="K90" s="102">
        <v>71</v>
      </c>
      <c r="L90" s="115">
        <v>0.3806</v>
      </c>
      <c r="M90" s="102">
        <v>24.81</v>
      </c>
      <c r="N90" s="115">
        <v>0.0464</v>
      </c>
    </row>
    <row r="91" customHeight="1" spans="8:14">
      <c r="H91" s="105">
        <v>9</v>
      </c>
      <c r="I91" s="105" t="s">
        <v>410</v>
      </c>
      <c r="J91" s="105" t="s">
        <v>459</v>
      </c>
      <c r="K91" s="105">
        <v>69</v>
      </c>
      <c r="L91" s="110" t="s">
        <v>340</v>
      </c>
      <c r="M91" s="105">
        <v>16.7</v>
      </c>
      <c r="N91" s="118">
        <v>0.0464</v>
      </c>
    </row>
    <row r="92" customHeight="1" spans="8:14">
      <c r="H92" s="102">
        <v>50</v>
      </c>
      <c r="I92" s="113" t="s">
        <v>355</v>
      </c>
      <c r="J92" s="102" t="s">
        <v>460</v>
      </c>
      <c r="K92" s="102">
        <v>69</v>
      </c>
      <c r="L92" s="120">
        <v>-0.59</v>
      </c>
      <c r="M92" s="102">
        <v>18.54</v>
      </c>
      <c r="N92" s="115">
        <v>0.0281</v>
      </c>
    </row>
    <row r="93" customHeight="1" spans="8:14">
      <c r="H93" s="105">
        <v>133</v>
      </c>
      <c r="I93" s="116" t="s">
        <v>352</v>
      </c>
      <c r="J93" s="105" t="s">
        <v>461</v>
      </c>
      <c r="K93" s="105">
        <v>66</v>
      </c>
      <c r="L93" s="118">
        <v>5.1552</v>
      </c>
      <c r="M93" s="105">
        <v>32.34</v>
      </c>
      <c r="N93" s="118">
        <v>0.0406</v>
      </c>
    </row>
    <row r="94" customHeight="1" spans="8:14">
      <c r="H94" s="102">
        <v>29</v>
      </c>
      <c r="I94" s="113" t="s">
        <v>384</v>
      </c>
      <c r="J94" s="102" t="s">
        <v>462</v>
      </c>
      <c r="K94" s="102">
        <v>64</v>
      </c>
      <c r="L94" s="119" t="s">
        <v>340</v>
      </c>
      <c r="M94" s="102">
        <v>18.84</v>
      </c>
      <c r="N94" s="115">
        <v>-0.3686</v>
      </c>
    </row>
    <row r="95" customHeight="1" spans="8:14">
      <c r="H95" s="105">
        <v>90</v>
      </c>
      <c r="I95" s="116" t="s">
        <v>417</v>
      </c>
      <c r="J95" s="105" t="s">
        <v>463</v>
      </c>
      <c r="K95" s="105">
        <v>61</v>
      </c>
      <c r="L95" s="118">
        <v>0.0287</v>
      </c>
      <c r="M95" s="105">
        <v>265.29</v>
      </c>
      <c r="N95" s="118">
        <v>0.0169</v>
      </c>
    </row>
    <row r="96" customHeight="1" spans="8:14">
      <c r="H96" s="102">
        <v>99</v>
      </c>
      <c r="I96" s="113" t="s">
        <v>433</v>
      </c>
      <c r="J96" s="102" t="s">
        <v>464</v>
      </c>
      <c r="K96" s="102">
        <v>60</v>
      </c>
      <c r="L96" s="115">
        <v>-0.4076</v>
      </c>
      <c r="M96" s="102">
        <v>10.18</v>
      </c>
      <c r="N96" s="115">
        <v>0.0457</v>
      </c>
    </row>
    <row r="97" customHeight="1" spans="8:14">
      <c r="H97" s="105">
        <v>80</v>
      </c>
      <c r="I97" s="116" t="s">
        <v>344</v>
      </c>
      <c r="J97" s="105" t="s">
        <v>465</v>
      </c>
      <c r="K97" s="105">
        <v>55</v>
      </c>
      <c r="L97" s="118">
        <v>-0.3253</v>
      </c>
      <c r="M97" s="105">
        <v>15.15</v>
      </c>
      <c r="N97" s="118">
        <v>0.0479</v>
      </c>
    </row>
    <row r="98" customHeight="1" spans="8:14">
      <c r="H98" s="102">
        <v>69</v>
      </c>
      <c r="I98" s="113" t="s">
        <v>373</v>
      </c>
      <c r="J98" s="102" t="s">
        <v>466</v>
      </c>
      <c r="K98" s="102">
        <v>51</v>
      </c>
      <c r="L98" s="119" t="s">
        <v>340</v>
      </c>
      <c r="M98" s="102">
        <v>13.48</v>
      </c>
      <c r="N98" s="115">
        <v>-0.598</v>
      </c>
    </row>
    <row r="99" customHeight="1" spans="8:14">
      <c r="H99" s="105">
        <v>91</v>
      </c>
      <c r="I99" s="116" t="s">
        <v>417</v>
      </c>
      <c r="J99" s="105" t="s">
        <v>467</v>
      </c>
      <c r="K99" s="105">
        <v>51</v>
      </c>
      <c r="L99" s="118">
        <v>-0.3995</v>
      </c>
      <c r="M99" s="105">
        <v>97.38</v>
      </c>
      <c r="N99" s="118">
        <v>0.0192</v>
      </c>
    </row>
    <row r="100" customHeight="1" spans="8:14">
      <c r="H100" s="102">
        <v>100</v>
      </c>
      <c r="I100" s="113" t="s">
        <v>433</v>
      </c>
      <c r="J100" s="102" t="s">
        <v>468</v>
      </c>
      <c r="K100" s="102">
        <v>51</v>
      </c>
      <c r="L100" s="120">
        <v>-0.17</v>
      </c>
      <c r="M100" s="102">
        <v>92.47</v>
      </c>
      <c r="N100" s="115">
        <v>0.0199</v>
      </c>
    </row>
    <row r="101" customHeight="1" spans="8:14">
      <c r="H101" s="105">
        <v>51</v>
      </c>
      <c r="I101" s="116" t="s">
        <v>355</v>
      </c>
      <c r="J101" s="105" t="s">
        <v>469</v>
      </c>
      <c r="K101" s="105">
        <v>49</v>
      </c>
      <c r="L101" s="118">
        <v>-0.7925</v>
      </c>
      <c r="M101" s="105">
        <v>14.86</v>
      </c>
      <c r="N101" s="118">
        <v>0.0286</v>
      </c>
    </row>
    <row r="102" customHeight="1" spans="8:14">
      <c r="H102" s="102">
        <v>118</v>
      </c>
      <c r="I102" s="113" t="s">
        <v>349</v>
      </c>
      <c r="J102" s="102" t="s">
        <v>470</v>
      </c>
      <c r="K102" s="102">
        <v>49</v>
      </c>
      <c r="L102" s="102">
        <v>9.57</v>
      </c>
      <c r="M102" s="115">
        <v>0.0585</v>
      </c>
      <c r="N102" s="115">
        <v>-0.4307</v>
      </c>
    </row>
    <row r="103" customHeight="1" spans="8:14">
      <c r="H103" s="105">
        <v>92</v>
      </c>
      <c r="I103" s="116" t="s">
        <v>417</v>
      </c>
      <c r="J103" s="105" t="s">
        <v>471</v>
      </c>
      <c r="K103" s="105">
        <v>44</v>
      </c>
      <c r="L103" s="118">
        <v>-0.005</v>
      </c>
      <c r="M103" s="105">
        <v>177.15</v>
      </c>
      <c r="N103" s="118">
        <v>0.0233</v>
      </c>
    </row>
    <row r="104" customHeight="1" spans="8:14">
      <c r="H104" s="102">
        <v>119</v>
      </c>
      <c r="I104" s="113" t="s">
        <v>349</v>
      </c>
      <c r="J104" s="102" t="s">
        <v>472</v>
      </c>
      <c r="K104" s="102">
        <v>41</v>
      </c>
      <c r="L104" s="102">
        <v>17.01</v>
      </c>
      <c r="M104" s="115">
        <v>0.0454</v>
      </c>
      <c r="N104" s="115">
        <v>-0.7115</v>
      </c>
    </row>
    <row r="105" customHeight="1" spans="8:14">
      <c r="H105" s="105">
        <v>54</v>
      </c>
      <c r="I105" s="116" t="s">
        <v>473</v>
      </c>
      <c r="J105" s="105" t="s">
        <v>474</v>
      </c>
      <c r="K105" s="105">
        <v>40</v>
      </c>
      <c r="L105" s="118">
        <v>-0.1373</v>
      </c>
      <c r="M105" s="105">
        <v>28.89</v>
      </c>
      <c r="N105" s="118">
        <v>0.0252</v>
      </c>
    </row>
    <row r="106" customHeight="1" spans="8:14">
      <c r="H106" s="102">
        <v>70</v>
      </c>
      <c r="I106" s="113" t="s">
        <v>373</v>
      </c>
      <c r="J106" s="102" t="s">
        <v>475</v>
      </c>
      <c r="K106" s="102">
        <v>36</v>
      </c>
      <c r="L106" s="119" t="s">
        <v>340</v>
      </c>
      <c r="M106" s="102">
        <v>12.32</v>
      </c>
      <c r="N106" s="115">
        <v>0.2213</v>
      </c>
    </row>
    <row r="107" customHeight="1" spans="8:14">
      <c r="H107" s="105">
        <v>10</v>
      </c>
      <c r="I107" s="105" t="s">
        <v>410</v>
      </c>
      <c r="J107" s="105" t="s">
        <v>476</v>
      </c>
      <c r="K107" s="105">
        <v>35</v>
      </c>
      <c r="L107" s="110" t="s">
        <v>340</v>
      </c>
      <c r="M107" s="105">
        <v>30.81</v>
      </c>
      <c r="N107" s="118">
        <v>0.0366</v>
      </c>
    </row>
    <row r="108" customHeight="1" spans="8:14">
      <c r="H108" s="102">
        <v>135</v>
      </c>
      <c r="I108" s="113" t="s">
        <v>435</v>
      </c>
      <c r="J108" s="102" t="s">
        <v>477</v>
      </c>
      <c r="K108" s="102">
        <v>33</v>
      </c>
      <c r="L108" s="115">
        <v>0.4889</v>
      </c>
      <c r="M108" s="102">
        <v>9.33</v>
      </c>
      <c r="N108" s="115">
        <v>0.0556</v>
      </c>
    </row>
    <row r="109" customHeight="1" spans="8:14">
      <c r="H109" s="105">
        <v>136</v>
      </c>
      <c r="I109" s="116" t="s">
        <v>435</v>
      </c>
      <c r="J109" s="105" t="s">
        <v>478</v>
      </c>
      <c r="K109" s="105">
        <v>30</v>
      </c>
      <c r="L109" s="118">
        <v>-0.3571</v>
      </c>
      <c r="M109" s="105">
        <v>20.3</v>
      </c>
      <c r="N109" s="118">
        <v>0.0231</v>
      </c>
    </row>
    <row r="110" customHeight="1" spans="8:14">
      <c r="H110" s="102">
        <v>52</v>
      </c>
      <c r="I110" s="113" t="s">
        <v>355</v>
      </c>
      <c r="J110" s="102" t="s">
        <v>479</v>
      </c>
      <c r="K110" s="102">
        <v>27</v>
      </c>
      <c r="L110" s="115">
        <v>-0.8663</v>
      </c>
      <c r="M110" s="102">
        <v>5.47</v>
      </c>
      <c r="N110" s="115">
        <v>0.0508</v>
      </c>
    </row>
    <row r="111" customHeight="1" spans="8:14">
      <c r="H111" s="105">
        <v>30</v>
      </c>
      <c r="I111" s="116" t="s">
        <v>384</v>
      </c>
      <c r="J111" s="105" t="s">
        <v>480</v>
      </c>
      <c r="K111" s="105">
        <v>26</v>
      </c>
      <c r="L111" s="110" t="s">
        <v>340</v>
      </c>
      <c r="M111" s="105">
        <v>31.48</v>
      </c>
      <c r="N111" s="118">
        <v>-0.7444</v>
      </c>
    </row>
    <row r="112" customHeight="1" spans="8:14">
      <c r="H112" s="102">
        <v>93</v>
      </c>
      <c r="I112" s="113" t="s">
        <v>417</v>
      </c>
      <c r="J112" s="102" t="s">
        <v>481</v>
      </c>
      <c r="K112" s="102">
        <v>26</v>
      </c>
      <c r="L112" s="115">
        <v>-0.2276</v>
      </c>
      <c r="M112" s="102">
        <v>103.28</v>
      </c>
      <c r="N112" s="115">
        <v>0.0183</v>
      </c>
    </row>
    <row r="113" customHeight="1" spans="8:14">
      <c r="H113" s="105">
        <v>11</v>
      </c>
      <c r="I113" s="105" t="s">
        <v>410</v>
      </c>
      <c r="J113" s="105" t="s">
        <v>482</v>
      </c>
      <c r="K113" s="105">
        <v>25</v>
      </c>
      <c r="L113" s="110" t="s">
        <v>340</v>
      </c>
      <c r="M113" s="105">
        <v>8.23</v>
      </c>
      <c r="N113" s="118">
        <v>0.0513</v>
      </c>
    </row>
    <row r="114" customHeight="1" spans="8:14">
      <c r="H114" s="102">
        <v>55</v>
      </c>
      <c r="I114" s="113" t="s">
        <v>473</v>
      </c>
      <c r="J114" s="102" t="s">
        <v>483</v>
      </c>
      <c r="K114" s="102">
        <v>25</v>
      </c>
      <c r="L114" s="115">
        <v>0.7959</v>
      </c>
      <c r="M114" s="102">
        <v>13.7</v>
      </c>
      <c r="N114" s="115">
        <v>0.0301</v>
      </c>
    </row>
    <row r="115" customHeight="1" spans="8:14">
      <c r="H115" s="105">
        <v>94</v>
      </c>
      <c r="I115" s="116" t="s">
        <v>417</v>
      </c>
      <c r="J115" s="105" t="s">
        <v>484</v>
      </c>
      <c r="K115" s="105">
        <v>25</v>
      </c>
      <c r="L115" s="118">
        <v>-0.6468</v>
      </c>
      <c r="M115" s="105">
        <v>85.3</v>
      </c>
      <c r="N115" s="118">
        <v>0.0134</v>
      </c>
    </row>
    <row r="116" customHeight="1" spans="8:14">
      <c r="H116" s="102">
        <v>95</v>
      </c>
      <c r="I116" s="113" t="s">
        <v>417</v>
      </c>
      <c r="J116" s="102" t="s">
        <v>485</v>
      </c>
      <c r="K116" s="102">
        <v>24</v>
      </c>
      <c r="L116" s="115">
        <v>-0.4671</v>
      </c>
      <c r="M116" s="102">
        <v>212.02</v>
      </c>
      <c r="N116" s="115">
        <v>0.0074</v>
      </c>
    </row>
    <row r="117" customHeight="1" spans="8:14">
      <c r="H117" s="105">
        <v>12</v>
      </c>
      <c r="I117" s="105" t="s">
        <v>410</v>
      </c>
      <c r="J117" s="105" t="s">
        <v>486</v>
      </c>
      <c r="K117" s="105">
        <v>19</v>
      </c>
      <c r="L117" s="110" t="s">
        <v>340</v>
      </c>
      <c r="M117" s="105">
        <v>16.98</v>
      </c>
      <c r="N117" s="118">
        <v>0.0277</v>
      </c>
    </row>
    <row r="118" customHeight="1" spans="8:14">
      <c r="H118" s="102">
        <v>96</v>
      </c>
      <c r="I118" s="113" t="s">
        <v>417</v>
      </c>
      <c r="J118" s="102" t="s">
        <v>487</v>
      </c>
      <c r="K118" s="102">
        <v>16</v>
      </c>
      <c r="L118" s="115">
        <v>-0.4719</v>
      </c>
      <c r="M118" s="102">
        <v>27.89</v>
      </c>
      <c r="N118" s="115">
        <v>0.0211</v>
      </c>
    </row>
    <row r="119" customHeight="1" spans="8:14">
      <c r="H119" s="105">
        <v>137</v>
      </c>
      <c r="I119" s="116" t="s">
        <v>435</v>
      </c>
      <c r="J119" s="105" t="s">
        <v>488</v>
      </c>
      <c r="K119" s="105">
        <v>14</v>
      </c>
      <c r="L119" s="118">
        <v>0.1818</v>
      </c>
      <c r="M119" s="105">
        <v>15.22</v>
      </c>
      <c r="N119" s="118">
        <v>0.0308</v>
      </c>
    </row>
    <row r="120" customHeight="1" spans="8:14">
      <c r="H120" s="102">
        <v>138</v>
      </c>
      <c r="I120" s="113" t="s">
        <v>435</v>
      </c>
      <c r="J120" s="102" t="s">
        <v>489</v>
      </c>
      <c r="K120" s="102">
        <v>13</v>
      </c>
      <c r="L120" s="115">
        <v>0.1667</v>
      </c>
      <c r="M120" s="102">
        <v>14.39</v>
      </c>
      <c r="N120" s="115">
        <v>0.0438</v>
      </c>
    </row>
    <row r="121" customHeight="1" spans="8:14">
      <c r="H121" s="105">
        <v>13</v>
      </c>
      <c r="I121" s="105" t="s">
        <v>410</v>
      </c>
      <c r="J121" s="105" t="s">
        <v>490</v>
      </c>
      <c r="K121" s="105">
        <v>12</v>
      </c>
      <c r="L121" s="110" t="s">
        <v>340</v>
      </c>
      <c r="M121" s="105">
        <v>8.19</v>
      </c>
      <c r="N121" s="118">
        <v>0.0306</v>
      </c>
    </row>
    <row r="122" customHeight="1" spans="8:14">
      <c r="H122" s="102">
        <v>31</v>
      </c>
      <c r="I122" s="113" t="s">
        <v>384</v>
      </c>
      <c r="J122" s="102" t="s">
        <v>491</v>
      </c>
      <c r="K122" s="102">
        <v>11</v>
      </c>
      <c r="L122" s="119" t="s">
        <v>340</v>
      </c>
      <c r="M122" s="102">
        <v>28.08</v>
      </c>
      <c r="N122" s="115">
        <v>0.4444</v>
      </c>
    </row>
    <row r="123" customHeight="1" spans="8:14">
      <c r="H123" s="105">
        <v>97</v>
      </c>
      <c r="I123" s="116" t="s">
        <v>417</v>
      </c>
      <c r="J123" s="105" t="s">
        <v>492</v>
      </c>
      <c r="K123" s="105">
        <v>11</v>
      </c>
      <c r="L123" s="118">
        <v>-0.3077</v>
      </c>
      <c r="M123" s="105">
        <v>116.55</v>
      </c>
      <c r="N123" s="118">
        <v>0.0278</v>
      </c>
    </row>
    <row r="124" customHeight="1" spans="8:14">
      <c r="H124" s="102">
        <v>14</v>
      </c>
      <c r="I124" s="102" t="s">
        <v>410</v>
      </c>
      <c r="J124" s="102" t="s">
        <v>493</v>
      </c>
      <c r="K124" s="102">
        <v>9</v>
      </c>
      <c r="L124" s="119" t="s">
        <v>340</v>
      </c>
      <c r="M124" s="102">
        <v>5.09</v>
      </c>
      <c r="N124" s="115">
        <v>0.0418</v>
      </c>
    </row>
    <row r="125" customHeight="1" spans="8:14">
      <c r="H125" s="105">
        <v>101</v>
      </c>
      <c r="I125" s="116" t="s">
        <v>433</v>
      </c>
      <c r="J125" s="105" t="s">
        <v>494</v>
      </c>
      <c r="K125" s="105">
        <v>9</v>
      </c>
      <c r="L125" s="121">
        <v>-0.2</v>
      </c>
      <c r="M125" s="105">
        <v>17.41</v>
      </c>
      <c r="N125" s="118">
        <v>0.0274</v>
      </c>
    </row>
    <row r="126" customHeight="1" spans="8:14">
      <c r="H126" s="102">
        <v>102</v>
      </c>
      <c r="I126" s="113" t="s">
        <v>433</v>
      </c>
      <c r="J126" s="102" t="s">
        <v>495</v>
      </c>
      <c r="K126" s="102">
        <v>8</v>
      </c>
      <c r="L126" s="115">
        <v>0.5455</v>
      </c>
      <c r="M126" s="102">
        <v>31.69</v>
      </c>
      <c r="N126" s="115">
        <v>0.0097</v>
      </c>
    </row>
    <row r="127" customHeight="1" spans="8:14">
      <c r="H127" s="105">
        <v>53</v>
      </c>
      <c r="I127" s="116" t="s">
        <v>355</v>
      </c>
      <c r="J127" s="105" t="s">
        <v>496</v>
      </c>
      <c r="K127" s="105">
        <v>7</v>
      </c>
      <c r="L127" s="121">
        <v>-0.98</v>
      </c>
      <c r="M127" s="105">
        <v>8.13</v>
      </c>
      <c r="N127" s="118">
        <v>0.0452</v>
      </c>
    </row>
    <row r="128" customHeight="1" spans="8:14">
      <c r="H128" s="102">
        <v>120</v>
      </c>
      <c r="I128" s="113" t="s">
        <v>349</v>
      </c>
      <c r="J128" s="102" t="s">
        <v>497</v>
      </c>
      <c r="K128" s="102">
        <v>7</v>
      </c>
      <c r="L128" s="102">
        <v>4.44</v>
      </c>
      <c r="M128" s="115">
        <v>0.0446</v>
      </c>
      <c r="N128" s="115">
        <v>0.625</v>
      </c>
    </row>
    <row r="129" customHeight="1" spans="8:14">
      <c r="H129" s="105">
        <v>56</v>
      </c>
      <c r="I129" s="116" t="s">
        <v>473</v>
      </c>
      <c r="J129" s="105" t="s">
        <v>498</v>
      </c>
      <c r="K129" s="105">
        <v>6</v>
      </c>
      <c r="L129" s="118">
        <v>-0.8878</v>
      </c>
      <c r="M129" s="105">
        <v>3.47</v>
      </c>
      <c r="N129" s="118">
        <v>0.1026</v>
      </c>
    </row>
    <row r="130" customHeight="1" spans="8:14">
      <c r="H130" s="102">
        <v>57</v>
      </c>
      <c r="I130" s="113" t="s">
        <v>473</v>
      </c>
      <c r="J130" s="102" t="s">
        <v>499</v>
      </c>
      <c r="K130" s="102">
        <v>6</v>
      </c>
      <c r="L130" s="119" t="s">
        <v>340</v>
      </c>
      <c r="M130" s="102">
        <v>24.62</v>
      </c>
      <c r="N130" s="115">
        <v>0.1875</v>
      </c>
    </row>
    <row r="131" customHeight="1" spans="8:14">
      <c r="H131" s="105">
        <v>15</v>
      </c>
      <c r="I131" s="105" t="s">
        <v>410</v>
      </c>
      <c r="J131" s="105" t="s">
        <v>500</v>
      </c>
      <c r="K131" s="105">
        <v>4</v>
      </c>
      <c r="L131" s="110" t="s">
        <v>340</v>
      </c>
      <c r="M131" s="105">
        <v>5.81</v>
      </c>
      <c r="N131" s="118">
        <v>0.0833</v>
      </c>
    </row>
    <row r="132" customHeight="1" spans="8:14">
      <c r="H132" s="102">
        <v>16</v>
      </c>
      <c r="I132" s="102" t="s">
        <v>410</v>
      </c>
      <c r="J132" s="102" t="s">
        <v>501</v>
      </c>
      <c r="K132" s="102">
        <v>4</v>
      </c>
      <c r="L132" s="119" t="s">
        <v>340</v>
      </c>
      <c r="M132" s="102">
        <v>6.52</v>
      </c>
      <c r="N132" s="120">
        <v>0.08</v>
      </c>
    </row>
    <row r="133" customHeight="1" spans="8:14">
      <c r="H133" s="105">
        <v>103</v>
      </c>
      <c r="I133" s="116" t="s">
        <v>433</v>
      </c>
      <c r="J133" s="105" t="s">
        <v>502</v>
      </c>
      <c r="K133" s="105">
        <v>4</v>
      </c>
      <c r="L133" s="121">
        <v>-0.5</v>
      </c>
      <c r="M133" s="105">
        <v>15.71</v>
      </c>
      <c r="N133" s="118">
        <v>0.0242</v>
      </c>
    </row>
    <row r="134" customHeight="1" spans="8:14">
      <c r="H134" s="102">
        <v>58</v>
      </c>
      <c r="I134" s="113" t="s">
        <v>473</v>
      </c>
      <c r="J134" s="102" t="s">
        <v>503</v>
      </c>
      <c r="K134" s="102">
        <v>3</v>
      </c>
      <c r="L134" s="119" t="s">
        <v>340</v>
      </c>
      <c r="M134" s="102">
        <v>21.72</v>
      </c>
      <c r="N134" s="115">
        <v>0.0476</v>
      </c>
    </row>
    <row r="135" customHeight="1" spans="8:14">
      <c r="H135" s="105">
        <v>59</v>
      </c>
      <c r="I135" s="116" t="s">
        <v>473</v>
      </c>
      <c r="J135" s="105" t="s">
        <v>504</v>
      </c>
      <c r="K135" s="105">
        <v>3</v>
      </c>
      <c r="L135" s="110" t="s">
        <v>340</v>
      </c>
      <c r="M135" s="105">
        <v>80</v>
      </c>
      <c r="N135" s="118">
        <v>0.0221</v>
      </c>
    </row>
    <row r="136" customHeight="1" spans="8:14">
      <c r="H136" s="102">
        <v>32</v>
      </c>
      <c r="I136" s="113" t="s">
        <v>384</v>
      </c>
      <c r="J136" s="102" t="s">
        <v>505</v>
      </c>
      <c r="K136" s="102">
        <v>2</v>
      </c>
      <c r="L136" s="119" t="s">
        <v>340</v>
      </c>
      <c r="M136" s="102">
        <v>65.58</v>
      </c>
      <c r="N136" s="120">
        <v>0</v>
      </c>
    </row>
    <row r="137" customHeight="1" spans="8:14">
      <c r="H137" s="105">
        <v>60</v>
      </c>
      <c r="I137" s="116" t="s">
        <v>473</v>
      </c>
      <c r="J137" s="105" t="s">
        <v>506</v>
      </c>
      <c r="K137" s="105">
        <v>2</v>
      </c>
      <c r="L137" s="118">
        <v>-0.9901</v>
      </c>
      <c r="M137" s="105">
        <v>5.04</v>
      </c>
      <c r="N137" s="118">
        <v>0.0238</v>
      </c>
    </row>
    <row r="138" customHeight="1" spans="8:14">
      <c r="H138" s="102">
        <v>139</v>
      </c>
      <c r="I138" s="113" t="s">
        <v>435</v>
      </c>
      <c r="J138" s="102" t="s">
        <v>507</v>
      </c>
      <c r="K138" s="102">
        <v>2</v>
      </c>
      <c r="L138" s="115">
        <v>-0.7692</v>
      </c>
      <c r="M138" s="102">
        <v>5.3</v>
      </c>
      <c r="N138" s="115">
        <v>0.0345</v>
      </c>
    </row>
    <row r="139" customHeight="1" spans="8:14">
      <c r="H139" s="105">
        <v>61</v>
      </c>
      <c r="I139" s="116" t="s">
        <v>473</v>
      </c>
      <c r="J139" s="105" t="s">
        <v>508</v>
      </c>
      <c r="K139" s="105">
        <v>1</v>
      </c>
      <c r="L139" s="118">
        <v>-0.9989</v>
      </c>
      <c r="M139" s="105">
        <v>7.68</v>
      </c>
      <c r="N139" s="118">
        <v>0.0159</v>
      </c>
    </row>
    <row r="140" customHeight="1" spans="8:14">
      <c r="H140" s="102">
        <v>17</v>
      </c>
      <c r="I140" s="102" t="s">
        <v>410</v>
      </c>
      <c r="J140" s="102" t="s">
        <v>509</v>
      </c>
      <c r="K140" s="102">
        <v>0</v>
      </c>
      <c r="L140" s="119" t="s">
        <v>340</v>
      </c>
      <c r="M140" s="102">
        <v>7.5</v>
      </c>
      <c r="N140" s="120">
        <v>0</v>
      </c>
    </row>
    <row r="141" customHeight="1" spans="8:14">
      <c r="H141" s="105">
        <v>33</v>
      </c>
      <c r="I141" s="116" t="s">
        <v>384</v>
      </c>
      <c r="J141" s="105" t="s">
        <v>510</v>
      </c>
      <c r="K141" s="105">
        <v>0</v>
      </c>
      <c r="L141" s="110" t="s">
        <v>340</v>
      </c>
      <c r="M141" s="105">
        <v>129.26</v>
      </c>
      <c r="N141" s="110" t="s">
        <v>340</v>
      </c>
    </row>
    <row r="142" customHeight="1" spans="8:14">
      <c r="H142" s="102">
        <v>62</v>
      </c>
      <c r="I142" s="113" t="s">
        <v>473</v>
      </c>
      <c r="J142" s="102" t="s">
        <v>511</v>
      </c>
      <c r="K142" s="102">
        <v>0</v>
      </c>
      <c r="L142" s="119" t="s">
        <v>340</v>
      </c>
      <c r="M142" s="102">
        <v>0</v>
      </c>
      <c r="N142" s="102" t="s">
        <v>339</v>
      </c>
    </row>
    <row r="143" customHeight="1" spans="8:14">
      <c r="H143" s="105">
        <v>63</v>
      </c>
      <c r="I143" s="116" t="s">
        <v>473</v>
      </c>
      <c r="J143" s="105" t="s">
        <v>512</v>
      </c>
      <c r="K143" s="105">
        <v>0</v>
      </c>
      <c r="L143" s="110" t="s">
        <v>340</v>
      </c>
      <c r="M143" s="105">
        <v>12.41</v>
      </c>
      <c r="N143" s="121">
        <v>0</v>
      </c>
    </row>
    <row r="144" customHeight="1" spans="8:14">
      <c r="H144" s="102">
        <v>64</v>
      </c>
      <c r="I144" s="113" t="s">
        <v>473</v>
      </c>
      <c r="J144" s="102" t="s">
        <v>513</v>
      </c>
      <c r="K144" s="102">
        <v>0</v>
      </c>
      <c r="L144" s="119" t="s">
        <v>340</v>
      </c>
      <c r="M144" s="102">
        <v>12.35</v>
      </c>
      <c r="N144" s="120">
        <v>0</v>
      </c>
    </row>
    <row r="145" customHeight="1" spans="8:14">
      <c r="H145" s="105">
        <v>65</v>
      </c>
      <c r="I145" s="116" t="s">
        <v>473</v>
      </c>
      <c r="J145" s="105" t="s">
        <v>514</v>
      </c>
      <c r="K145" s="105">
        <v>0</v>
      </c>
      <c r="L145" s="110" t="s">
        <v>340</v>
      </c>
      <c r="M145" s="105">
        <v>15</v>
      </c>
      <c r="N145" s="121">
        <v>0</v>
      </c>
    </row>
    <row r="146" customHeight="1" spans="8:14">
      <c r="H146" s="102">
        <v>121</v>
      </c>
      <c r="I146" s="113" t="s">
        <v>349</v>
      </c>
      <c r="J146" s="102" t="s">
        <v>515</v>
      </c>
      <c r="K146" s="102">
        <v>0</v>
      </c>
      <c r="L146" s="102">
        <v>5.53</v>
      </c>
      <c r="M146" s="120">
        <v>0</v>
      </c>
      <c r="N146" s="119" t="s">
        <v>340</v>
      </c>
    </row>
  </sheetData>
  <sheetProtection formatCells="0" insertHyperlinks="0" autoFilter="0"/>
  <autoFilter xmlns:etc="http://www.wps.cn/officeDocument/2017/etCustomData" ref="H1:N146" etc:filterBottomFollowUsedRange="0">
    <sortState ref="H1:N146">
      <sortCondition ref="K1" descending="1"/>
    </sortState>
    <extLst/>
  </autoFilter>
  <conditionalFormatting sqref="C2:C21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{042222c1-9a78-460c-a99c-37f8beffdb1f}</x14:id>
        </ext>
      </extLst>
    </cfRule>
  </conditionalFormatting>
  <conditionalFormatting sqref="D2:D21"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E2:E21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{43962cc7-845a-40a4-9c19-bfaa6f299b45}</x14:id>
        </ext>
      </extLst>
    </cfRule>
  </conditionalFormatting>
  <conditionalFormatting sqref="F2:F2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{2fd070ee-c6d5-451a-975f-5fc656c514ab}</x14:id>
        </ext>
      </extLst>
    </cfRule>
  </conditionalFormatting>
  <conditionalFormatting sqref="K2:K146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{42e0e4a1-ca22-426e-bfad-b2b7ddf80281}</x14:id>
        </ext>
      </extLst>
    </cfRule>
  </conditionalFormatting>
  <conditionalFormatting sqref="L2:L146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M2:M146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{68d6b212-97af-4a15-b1da-4515e0aee8e6}</x14:id>
        </ext>
      </extLst>
    </cfRule>
  </conditionalFormatting>
  <conditionalFormatting sqref="N2:N14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{d2fd70e3-bc6c-4b60-9456-961d28701549}</x14:id>
        </ext>
      </extLst>
    </cfRule>
  </conditionalFormatting>
  <pageMargins left="0.75" right="0.75" top="1" bottom="1" header="0.511805555555556" footer="0.511805555555556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2222c1-9a78-460c-a99c-37f8beffdb1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C2:C21</xm:sqref>
        </x14:conditionalFormatting>
        <x14:conditionalFormatting xmlns:xm="http://schemas.microsoft.com/office/excel/2006/main">
          <x14:cfRule type="dataBar" id="{43962cc7-845a-40a4-9c19-bfaa6f299b4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E2:E21</xm:sqref>
        </x14:conditionalFormatting>
        <x14:conditionalFormatting xmlns:xm="http://schemas.microsoft.com/office/excel/2006/main">
          <x14:cfRule type="dataBar" id="{2fd070ee-c6d5-451a-975f-5fc656c514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F2:F21</xm:sqref>
        </x14:conditionalFormatting>
        <x14:conditionalFormatting xmlns:xm="http://schemas.microsoft.com/office/excel/2006/main">
          <x14:cfRule type="dataBar" id="{42e0e4a1-ca22-426e-bfad-b2b7ddf8028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K2:K146</xm:sqref>
        </x14:conditionalFormatting>
        <x14:conditionalFormatting xmlns:xm="http://schemas.microsoft.com/office/excel/2006/main">
          <x14:cfRule type="dataBar" id="{68d6b212-97af-4a15-b1da-4515e0aee8e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M2:M146</xm:sqref>
        </x14:conditionalFormatting>
        <x14:conditionalFormatting xmlns:xm="http://schemas.microsoft.com/office/excel/2006/main">
          <x14:cfRule type="dataBar" id="{d2fd70e3-bc6c-4b60-9456-961d287015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N2:N146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03"/>
  <sheetViews>
    <sheetView workbookViewId="0">
      <selection activeCell="A1" sqref="A1:F21"/>
    </sheetView>
  </sheetViews>
  <sheetFormatPr defaultColWidth="9.14166666666667" defaultRowHeight="17.25"/>
  <cols>
    <col min="1" max="1" width="5.85833333333333" style="69" customWidth="1"/>
    <col min="2" max="2" width="36.2166666666667" style="69" customWidth="1"/>
    <col min="3" max="3" width="15.475" style="69" customWidth="1"/>
    <col min="4" max="4" width="16.6583333333333" style="69" customWidth="1"/>
    <col min="5" max="5" width="14.4416666666667" style="69" customWidth="1"/>
    <col min="6" max="6" width="21.425" style="69" customWidth="1"/>
    <col min="7" max="8" width="9.14166666666667" style="69"/>
    <col min="9" max="9" width="6" style="69" customWidth="1"/>
    <col min="10" max="10" width="17.075" style="69" customWidth="1"/>
    <col min="11" max="11" width="34.525" style="69" customWidth="1"/>
    <col min="12" max="12" width="10.2833333333333" style="69" customWidth="1"/>
    <col min="13" max="13" width="11.2166666666667" style="69" customWidth="1"/>
    <col min="14" max="14" width="10.2833333333333" style="69" customWidth="1"/>
    <col min="15" max="15" width="10.1416666666667" style="69" customWidth="1"/>
    <col min="16" max="17" width="9.14166666666667" style="69"/>
    <col min="18" max="18" width="12.2" style="69" customWidth="1"/>
    <col min="19" max="19" width="35.2666666666667" style="69" customWidth="1"/>
    <col min="20" max="16384" width="9.14166666666667" style="69"/>
  </cols>
  <sheetData>
    <row r="1" ht="22.5" spans="1:31">
      <c r="A1" s="70" t="s">
        <v>327</v>
      </c>
      <c r="B1" s="70" t="s">
        <v>516</v>
      </c>
      <c r="C1" s="70" t="s">
        <v>517</v>
      </c>
      <c r="D1" s="70" t="s">
        <v>329</v>
      </c>
      <c r="E1" s="70" t="s">
        <v>518</v>
      </c>
      <c r="F1" s="70" t="s">
        <v>519</v>
      </c>
      <c r="I1" s="78" t="s">
        <v>327</v>
      </c>
      <c r="J1" s="78" t="s">
        <v>520</v>
      </c>
      <c r="K1" s="78" t="s">
        <v>516</v>
      </c>
      <c r="L1" s="78" t="s">
        <v>517</v>
      </c>
      <c r="M1" s="78" t="s">
        <v>329</v>
      </c>
      <c r="N1" s="78" t="s">
        <v>518</v>
      </c>
      <c r="O1" s="78" t="s">
        <v>519</v>
      </c>
      <c r="R1" s="86" t="s">
        <v>327</v>
      </c>
      <c r="S1" s="86" t="s">
        <v>516</v>
      </c>
      <c r="T1" s="87" t="s">
        <v>521</v>
      </c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</row>
    <row r="2" spans="1:31">
      <c r="A2" s="71">
        <v>1</v>
      </c>
      <c r="B2" s="71" t="s">
        <v>522</v>
      </c>
      <c r="C2" s="72">
        <v>3483</v>
      </c>
      <c r="D2" s="73">
        <v>-0.2883</v>
      </c>
      <c r="E2" s="71">
        <v>28.95</v>
      </c>
      <c r="F2" s="73">
        <v>0.0604</v>
      </c>
      <c r="I2" s="79">
        <v>1</v>
      </c>
      <c r="J2" s="80" t="s">
        <v>344</v>
      </c>
      <c r="K2" s="79" t="s">
        <v>522</v>
      </c>
      <c r="L2" s="79">
        <v>990</v>
      </c>
      <c r="M2" s="83">
        <v>-0.4863</v>
      </c>
      <c r="N2" s="79">
        <v>14.2</v>
      </c>
      <c r="O2" s="83">
        <v>0.0507</v>
      </c>
      <c r="R2" s="88">
        <v>1</v>
      </c>
      <c r="S2" s="88" t="s">
        <v>522</v>
      </c>
      <c r="T2" s="54" t="s">
        <v>344</v>
      </c>
      <c r="U2" s="54"/>
      <c r="V2" s="54"/>
      <c r="W2" s="54"/>
      <c r="X2" s="54" t="s">
        <v>355</v>
      </c>
      <c r="Y2" s="54"/>
      <c r="Z2" s="54"/>
      <c r="AA2" s="54"/>
      <c r="AB2" s="54" t="s">
        <v>337</v>
      </c>
      <c r="AC2" s="54"/>
      <c r="AD2" s="54"/>
      <c r="AE2" s="54"/>
    </row>
    <row r="3" spans="1:31">
      <c r="A3" s="74">
        <v>2</v>
      </c>
      <c r="B3" s="74" t="s">
        <v>523</v>
      </c>
      <c r="C3" s="75">
        <v>1288</v>
      </c>
      <c r="D3" s="76">
        <v>-0.6533</v>
      </c>
      <c r="E3" s="74">
        <v>6.88</v>
      </c>
      <c r="F3" s="76">
        <v>0.0607</v>
      </c>
      <c r="I3" s="81">
        <v>2</v>
      </c>
      <c r="J3" s="82" t="s">
        <v>337</v>
      </c>
      <c r="K3" s="81" t="s">
        <v>523</v>
      </c>
      <c r="L3" s="81">
        <v>540</v>
      </c>
      <c r="M3" s="84">
        <v>-0.5721</v>
      </c>
      <c r="N3" s="81">
        <v>9.78</v>
      </c>
      <c r="O3" s="84">
        <v>0.0689</v>
      </c>
      <c r="R3" s="88"/>
      <c r="S3" s="88"/>
      <c r="T3" s="78" t="s">
        <v>517</v>
      </c>
      <c r="U3" s="78" t="s">
        <v>329</v>
      </c>
      <c r="V3" s="78" t="s">
        <v>518</v>
      </c>
      <c r="W3" s="78" t="s">
        <v>519</v>
      </c>
      <c r="X3" s="78" t="s">
        <v>517</v>
      </c>
      <c r="Y3" s="78" t="s">
        <v>329</v>
      </c>
      <c r="Z3" s="78" t="s">
        <v>518</v>
      </c>
      <c r="AA3" s="78" t="s">
        <v>519</v>
      </c>
      <c r="AB3" s="78" t="s">
        <v>517</v>
      </c>
      <c r="AC3" s="78" t="s">
        <v>329</v>
      </c>
      <c r="AD3" s="78" t="s">
        <v>518</v>
      </c>
      <c r="AE3" s="78" t="s">
        <v>519</v>
      </c>
    </row>
    <row r="4" spans="1:31">
      <c r="A4" s="71">
        <v>3</v>
      </c>
      <c r="B4" s="71" t="s">
        <v>524</v>
      </c>
      <c r="C4" s="72">
        <v>1132</v>
      </c>
      <c r="D4" s="73">
        <v>-0.307</v>
      </c>
      <c r="E4" s="71">
        <v>7.25</v>
      </c>
      <c r="F4" s="73">
        <v>0.0562</v>
      </c>
      <c r="I4" s="79">
        <v>3</v>
      </c>
      <c r="J4" s="79" t="s">
        <v>525</v>
      </c>
      <c r="K4" s="79" t="s">
        <v>526</v>
      </c>
      <c r="L4" s="79">
        <v>85</v>
      </c>
      <c r="M4" s="83">
        <v>-0.1079</v>
      </c>
      <c r="N4" s="79">
        <v>2.06</v>
      </c>
      <c r="O4" s="83">
        <v>0.0727</v>
      </c>
      <c r="R4" s="89"/>
      <c r="S4" s="89"/>
      <c r="T4" s="90">
        <v>990</v>
      </c>
      <c r="U4" s="94">
        <v>-0.4863</v>
      </c>
      <c r="V4" s="90">
        <v>14.2</v>
      </c>
      <c r="W4" s="94">
        <v>0.0507</v>
      </c>
      <c r="X4" s="90">
        <v>898</v>
      </c>
      <c r="Y4" s="94">
        <v>-0.4963</v>
      </c>
      <c r="Z4" s="90">
        <v>11.64</v>
      </c>
      <c r="AA4" s="94">
        <v>0.0765</v>
      </c>
      <c r="AB4" s="90">
        <v>877</v>
      </c>
      <c r="AC4" s="94">
        <v>-0.2961</v>
      </c>
      <c r="AD4" s="90">
        <v>26.41</v>
      </c>
      <c r="AE4" s="94">
        <v>0.052</v>
      </c>
    </row>
    <row r="5" spans="1:31">
      <c r="A5" s="74">
        <v>4</v>
      </c>
      <c r="B5" s="74" t="s">
        <v>527</v>
      </c>
      <c r="C5" s="75">
        <v>1131</v>
      </c>
      <c r="D5" s="76">
        <v>-0.3857</v>
      </c>
      <c r="E5" s="74">
        <v>7.32</v>
      </c>
      <c r="F5" s="76">
        <v>0.059</v>
      </c>
      <c r="I5" s="79">
        <v>7</v>
      </c>
      <c r="J5" s="80" t="s">
        <v>337</v>
      </c>
      <c r="K5" s="79" t="s">
        <v>528</v>
      </c>
      <c r="L5" s="79">
        <v>345</v>
      </c>
      <c r="M5" s="83">
        <v>-0.4491</v>
      </c>
      <c r="N5" s="79">
        <v>5.64</v>
      </c>
      <c r="O5" s="83">
        <v>0.0652</v>
      </c>
      <c r="R5" s="88">
        <v>2</v>
      </c>
      <c r="S5" s="88" t="s">
        <v>523</v>
      </c>
      <c r="T5" s="54" t="s">
        <v>337</v>
      </c>
      <c r="U5" s="54"/>
      <c r="V5" s="54"/>
      <c r="W5" s="54"/>
      <c r="X5" s="54" t="s">
        <v>334</v>
      </c>
      <c r="Y5" s="54"/>
      <c r="Z5" s="54"/>
      <c r="AA5" s="54"/>
      <c r="AB5" s="54" t="s">
        <v>344</v>
      </c>
      <c r="AC5" s="54"/>
      <c r="AD5" s="54"/>
      <c r="AE5" s="54"/>
    </row>
    <row r="6" spans="1:31">
      <c r="A6" s="71">
        <v>5</v>
      </c>
      <c r="B6" s="71" t="s">
        <v>529</v>
      </c>
      <c r="C6" s="72">
        <v>1116</v>
      </c>
      <c r="D6" s="73">
        <v>-0.5279</v>
      </c>
      <c r="E6" s="71">
        <v>4.6</v>
      </c>
      <c r="F6" s="73">
        <v>0.0782</v>
      </c>
      <c r="I6" s="81">
        <v>4</v>
      </c>
      <c r="J6" s="82" t="s">
        <v>344</v>
      </c>
      <c r="K6" s="81" t="s">
        <v>530</v>
      </c>
      <c r="L6" s="81">
        <v>297</v>
      </c>
      <c r="M6" s="84">
        <v>-0.4828</v>
      </c>
      <c r="N6" s="81">
        <v>2.01</v>
      </c>
      <c r="O6" s="84">
        <v>0.064</v>
      </c>
      <c r="R6" s="88"/>
      <c r="S6" s="88"/>
      <c r="T6" s="78" t="s">
        <v>517</v>
      </c>
      <c r="U6" s="78" t="s">
        <v>329</v>
      </c>
      <c r="V6" s="78" t="s">
        <v>518</v>
      </c>
      <c r="W6" s="78" t="s">
        <v>519</v>
      </c>
      <c r="X6" s="78" t="s">
        <v>517</v>
      </c>
      <c r="Y6" s="78" t="s">
        <v>329</v>
      </c>
      <c r="Z6" s="78" t="s">
        <v>518</v>
      </c>
      <c r="AA6" s="78" t="s">
        <v>519</v>
      </c>
      <c r="AB6" s="78" t="s">
        <v>517</v>
      </c>
      <c r="AC6" s="78" t="s">
        <v>329</v>
      </c>
      <c r="AD6" s="78" t="s">
        <v>518</v>
      </c>
      <c r="AE6" s="78" t="s">
        <v>519</v>
      </c>
    </row>
    <row r="7" spans="1:31">
      <c r="A7" s="74">
        <v>6</v>
      </c>
      <c r="B7" s="74" t="s">
        <v>528</v>
      </c>
      <c r="C7" s="75">
        <v>1076</v>
      </c>
      <c r="D7" s="76">
        <v>-0.5013</v>
      </c>
      <c r="E7" s="74">
        <v>5.11</v>
      </c>
      <c r="F7" s="76">
        <v>0.0636</v>
      </c>
      <c r="I7" s="81">
        <v>6</v>
      </c>
      <c r="J7" s="81" t="s">
        <v>525</v>
      </c>
      <c r="K7" s="81" t="s">
        <v>531</v>
      </c>
      <c r="L7" s="81">
        <v>49</v>
      </c>
      <c r="M7" s="84">
        <v>0.0359</v>
      </c>
      <c r="N7" s="81">
        <v>0.9</v>
      </c>
      <c r="O7" s="84">
        <v>0.0609</v>
      </c>
      <c r="R7" s="89"/>
      <c r="S7" s="89"/>
      <c r="T7" s="91">
        <v>540</v>
      </c>
      <c r="U7" s="95">
        <v>-0.5721</v>
      </c>
      <c r="V7" s="91">
        <v>9.78</v>
      </c>
      <c r="W7" s="95">
        <v>0.0689</v>
      </c>
      <c r="X7" s="90">
        <v>362</v>
      </c>
      <c r="Y7" s="94">
        <v>-0.6296</v>
      </c>
      <c r="Z7" s="90">
        <v>13.54</v>
      </c>
      <c r="AA7" s="94">
        <v>0.0597</v>
      </c>
      <c r="AB7" s="90">
        <v>324</v>
      </c>
      <c r="AC7" s="94">
        <v>-0.803</v>
      </c>
      <c r="AD7" s="90">
        <v>2.81</v>
      </c>
      <c r="AE7" s="94">
        <v>0.0519</v>
      </c>
    </row>
    <row r="8" spans="1:31">
      <c r="A8" s="71">
        <v>7</v>
      </c>
      <c r="B8" s="71" t="s">
        <v>530</v>
      </c>
      <c r="C8" s="71">
        <v>911</v>
      </c>
      <c r="D8" s="73">
        <v>-0.2577</v>
      </c>
      <c r="E8" s="71">
        <v>3.8</v>
      </c>
      <c r="F8" s="73">
        <v>0.0653</v>
      </c>
      <c r="I8" s="79">
        <v>3</v>
      </c>
      <c r="J8" s="80" t="s">
        <v>337</v>
      </c>
      <c r="K8" s="79" t="s">
        <v>529</v>
      </c>
      <c r="L8" s="79">
        <v>502</v>
      </c>
      <c r="M8" s="83">
        <v>-0.6598</v>
      </c>
      <c r="N8" s="79">
        <v>7.09</v>
      </c>
      <c r="O8" s="83">
        <v>0.0822</v>
      </c>
      <c r="R8" s="88">
        <v>3</v>
      </c>
      <c r="S8" s="88" t="s">
        <v>524</v>
      </c>
      <c r="T8" s="54" t="s">
        <v>337</v>
      </c>
      <c r="U8" s="54"/>
      <c r="V8" s="54"/>
      <c r="W8" s="54"/>
      <c r="X8" s="54" t="s">
        <v>352</v>
      </c>
      <c r="Y8" s="54"/>
      <c r="Z8" s="54"/>
      <c r="AA8" s="54"/>
      <c r="AB8" s="54" t="s">
        <v>344</v>
      </c>
      <c r="AC8" s="54"/>
      <c r="AD8" s="54"/>
      <c r="AE8" s="54"/>
    </row>
    <row r="9" spans="1:31">
      <c r="A9" s="74">
        <v>8</v>
      </c>
      <c r="B9" s="74" t="s">
        <v>532</v>
      </c>
      <c r="C9" s="74">
        <v>910</v>
      </c>
      <c r="D9" s="76">
        <v>-0.4778</v>
      </c>
      <c r="E9" s="74">
        <v>6.55</v>
      </c>
      <c r="F9" s="76">
        <v>0.0442</v>
      </c>
      <c r="I9" s="81">
        <v>8</v>
      </c>
      <c r="J9" s="81" t="s">
        <v>525</v>
      </c>
      <c r="K9" s="81" t="s">
        <v>533</v>
      </c>
      <c r="L9" s="81">
        <v>39</v>
      </c>
      <c r="M9" s="84">
        <v>-0.491</v>
      </c>
      <c r="N9" s="81">
        <v>0.66</v>
      </c>
      <c r="O9" s="84">
        <v>0.0795</v>
      </c>
      <c r="R9" s="88"/>
      <c r="S9" s="88"/>
      <c r="T9" s="78" t="s">
        <v>517</v>
      </c>
      <c r="U9" s="78" t="s">
        <v>329</v>
      </c>
      <c r="V9" s="78" t="s">
        <v>518</v>
      </c>
      <c r="W9" s="78" t="s">
        <v>519</v>
      </c>
      <c r="X9" s="78" t="s">
        <v>517</v>
      </c>
      <c r="Y9" s="78" t="s">
        <v>329</v>
      </c>
      <c r="Z9" s="78" t="s">
        <v>518</v>
      </c>
      <c r="AA9" s="78" t="s">
        <v>519</v>
      </c>
      <c r="AB9" s="78" t="s">
        <v>517</v>
      </c>
      <c r="AC9" s="78" t="s">
        <v>329</v>
      </c>
      <c r="AD9" s="78" t="s">
        <v>518</v>
      </c>
      <c r="AE9" s="78" t="s">
        <v>519</v>
      </c>
    </row>
    <row r="10" spans="1:31">
      <c r="A10" s="71">
        <v>9</v>
      </c>
      <c r="B10" s="71" t="s">
        <v>534</v>
      </c>
      <c r="C10" s="71">
        <v>885</v>
      </c>
      <c r="D10" s="73">
        <v>-0.0844</v>
      </c>
      <c r="E10" s="71">
        <v>5.79</v>
      </c>
      <c r="F10" s="73">
        <v>0.0466</v>
      </c>
      <c r="I10" s="81">
        <v>4</v>
      </c>
      <c r="J10" s="82" t="s">
        <v>337</v>
      </c>
      <c r="K10" s="81" t="s">
        <v>524</v>
      </c>
      <c r="L10" s="81">
        <v>501</v>
      </c>
      <c r="M10" s="84">
        <v>-0.5691</v>
      </c>
      <c r="N10" s="81">
        <v>10.45</v>
      </c>
      <c r="O10" s="84">
        <v>0.0685</v>
      </c>
      <c r="R10" s="89"/>
      <c r="S10" s="89"/>
      <c r="T10" s="91">
        <v>501</v>
      </c>
      <c r="U10" s="95">
        <v>-0.5691</v>
      </c>
      <c r="V10" s="91">
        <v>10.45</v>
      </c>
      <c r="W10" s="95">
        <v>0.0685</v>
      </c>
      <c r="X10" s="90">
        <v>296</v>
      </c>
      <c r="Y10" s="96">
        <v>1.44</v>
      </c>
      <c r="Z10" s="90">
        <v>14.51</v>
      </c>
      <c r="AA10" s="94">
        <v>0.0553</v>
      </c>
      <c r="AB10" s="91">
        <v>284</v>
      </c>
      <c r="AC10" s="95">
        <v>-0.4302</v>
      </c>
      <c r="AD10" s="91">
        <v>2.48</v>
      </c>
      <c r="AE10" s="95">
        <v>0.0589</v>
      </c>
    </row>
    <row r="11" spans="1:31">
      <c r="A11" s="74">
        <v>10</v>
      </c>
      <c r="B11" s="74" t="s">
        <v>535</v>
      </c>
      <c r="C11" s="74">
        <v>838</v>
      </c>
      <c r="D11" s="76">
        <v>-0.0475</v>
      </c>
      <c r="E11" s="74">
        <v>6.64</v>
      </c>
      <c r="F11" s="76">
        <v>0.0385</v>
      </c>
      <c r="I11" s="81">
        <v>10</v>
      </c>
      <c r="J11" s="81" t="s">
        <v>525</v>
      </c>
      <c r="K11" s="81" t="s">
        <v>536</v>
      </c>
      <c r="L11" s="81">
        <v>33</v>
      </c>
      <c r="M11" s="84">
        <v>-0.5377</v>
      </c>
      <c r="N11" s="81">
        <v>0.9</v>
      </c>
      <c r="O11" s="84">
        <v>0.0466</v>
      </c>
      <c r="R11" s="88">
        <v>4</v>
      </c>
      <c r="S11" s="88" t="s">
        <v>527</v>
      </c>
      <c r="T11" s="54" t="s">
        <v>337</v>
      </c>
      <c r="U11" s="54"/>
      <c r="V11" s="54"/>
      <c r="W11" s="54"/>
      <c r="X11" s="54" t="s">
        <v>334</v>
      </c>
      <c r="Y11" s="54"/>
      <c r="Z11" s="54"/>
      <c r="AA11" s="54"/>
      <c r="AB11" s="54" t="s">
        <v>352</v>
      </c>
      <c r="AC11" s="54"/>
      <c r="AD11" s="54"/>
      <c r="AE11" s="54"/>
    </row>
    <row r="12" spans="1:31">
      <c r="A12" s="71">
        <v>11</v>
      </c>
      <c r="B12" s="71" t="s">
        <v>537</v>
      </c>
      <c r="C12" s="71">
        <v>758</v>
      </c>
      <c r="D12" s="73">
        <v>-0.4747</v>
      </c>
      <c r="E12" s="71">
        <v>5.12</v>
      </c>
      <c r="F12" s="73">
        <v>0.0409</v>
      </c>
      <c r="I12" s="79">
        <v>11</v>
      </c>
      <c r="J12" s="79" t="s">
        <v>525</v>
      </c>
      <c r="K12" s="79" t="s">
        <v>537</v>
      </c>
      <c r="L12" s="79">
        <v>31</v>
      </c>
      <c r="M12" s="83">
        <v>-0.6199</v>
      </c>
      <c r="N12" s="79">
        <v>0.65</v>
      </c>
      <c r="O12" s="83">
        <v>0.0515</v>
      </c>
      <c r="R12" s="88"/>
      <c r="S12" s="88"/>
      <c r="T12" s="78" t="s">
        <v>517</v>
      </c>
      <c r="U12" s="78" t="s">
        <v>329</v>
      </c>
      <c r="V12" s="78" t="s">
        <v>518</v>
      </c>
      <c r="W12" s="78" t="s">
        <v>519</v>
      </c>
      <c r="X12" s="78" t="s">
        <v>517</v>
      </c>
      <c r="Y12" s="78" t="s">
        <v>329</v>
      </c>
      <c r="Z12" s="78" t="s">
        <v>518</v>
      </c>
      <c r="AA12" s="78" t="s">
        <v>519</v>
      </c>
      <c r="AB12" s="78" t="s">
        <v>517</v>
      </c>
      <c r="AC12" s="78" t="s">
        <v>329</v>
      </c>
      <c r="AD12" s="78" t="s">
        <v>518</v>
      </c>
      <c r="AE12" s="78" t="s">
        <v>519</v>
      </c>
    </row>
    <row r="13" spans="1:31">
      <c r="A13" s="74">
        <v>12</v>
      </c>
      <c r="B13" s="74" t="s">
        <v>538</v>
      </c>
      <c r="C13" s="74">
        <v>756</v>
      </c>
      <c r="D13" s="76">
        <v>-0.4657</v>
      </c>
      <c r="E13" s="74">
        <v>5.28</v>
      </c>
      <c r="F13" s="76">
        <v>0.0413</v>
      </c>
      <c r="I13" s="81">
        <v>12</v>
      </c>
      <c r="J13" s="81" t="s">
        <v>525</v>
      </c>
      <c r="K13" s="81" t="s">
        <v>539</v>
      </c>
      <c r="L13" s="81">
        <v>30</v>
      </c>
      <c r="M13" s="84">
        <v>-0.4264</v>
      </c>
      <c r="N13" s="81">
        <v>0.84</v>
      </c>
      <c r="O13" s="84">
        <v>0.0481</v>
      </c>
      <c r="R13" s="89"/>
      <c r="S13" s="89"/>
      <c r="T13" s="91">
        <v>456</v>
      </c>
      <c r="U13" s="95">
        <v>-0.5173</v>
      </c>
      <c r="V13" s="91">
        <v>9.56</v>
      </c>
      <c r="W13" s="95">
        <v>0.0656</v>
      </c>
      <c r="X13" s="91">
        <v>389</v>
      </c>
      <c r="Y13" s="95">
        <v>0.0162</v>
      </c>
      <c r="Z13" s="91">
        <v>15</v>
      </c>
      <c r="AA13" s="95">
        <v>0.0697</v>
      </c>
      <c r="AB13" s="91">
        <v>287</v>
      </c>
      <c r="AC13" s="95">
        <v>0.1848</v>
      </c>
      <c r="AD13" s="91">
        <v>12.84</v>
      </c>
      <c r="AE13" s="95">
        <v>0.0615</v>
      </c>
    </row>
    <row r="14" spans="1:31">
      <c r="A14" s="71">
        <v>13</v>
      </c>
      <c r="B14" s="71" t="s">
        <v>536</v>
      </c>
      <c r="C14" s="71">
        <v>754</v>
      </c>
      <c r="D14" s="73">
        <v>-0.5766</v>
      </c>
      <c r="E14" s="71">
        <v>5.7</v>
      </c>
      <c r="F14" s="73">
        <v>0.0389</v>
      </c>
      <c r="I14" s="79">
        <v>13</v>
      </c>
      <c r="J14" s="79" t="s">
        <v>525</v>
      </c>
      <c r="K14" s="79" t="s">
        <v>540</v>
      </c>
      <c r="L14" s="79">
        <v>29</v>
      </c>
      <c r="M14" s="83">
        <v>-0.2238</v>
      </c>
      <c r="N14" s="79">
        <v>0.41</v>
      </c>
      <c r="O14" s="83">
        <v>0.0934</v>
      </c>
      <c r="R14" s="88">
        <v>5</v>
      </c>
      <c r="S14" s="88" t="s">
        <v>529</v>
      </c>
      <c r="T14" s="54" t="s">
        <v>337</v>
      </c>
      <c r="U14" s="54"/>
      <c r="V14" s="54"/>
      <c r="W14" s="54"/>
      <c r="X14" s="54" t="s">
        <v>344</v>
      </c>
      <c r="Y14" s="54"/>
      <c r="Z14" s="54"/>
      <c r="AA14" s="54"/>
      <c r="AB14" s="54" t="s">
        <v>334</v>
      </c>
      <c r="AC14" s="54"/>
      <c r="AD14" s="54"/>
      <c r="AE14" s="54"/>
    </row>
    <row r="15" spans="1:31">
      <c r="A15" s="74">
        <v>14</v>
      </c>
      <c r="B15" s="74" t="s">
        <v>541</v>
      </c>
      <c r="C15" s="74">
        <v>735</v>
      </c>
      <c r="D15" s="77">
        <v>-0.57</v>
      </c>
      <c r="E15" s="74">
        <v>3.84</v>
      </c>
      <c r="F15" s="76">
        <v>0.0579</v>
      </c>
      <c r="I15" s="81">
        <v>14</v>
      </c>
      <c r="J15" s="81" t="s">
        <v>525</v>
      </c>
      <c r="K15" s="81" t="s">
        <v>542</v>
      </c>
      <c r="L15" s="81">
        <v>28</v>
      </c>
      <c r="M15" s="84">
        <v>-0.6038</v>
      </c>
      <c r="N15" s="81">
        <v>0.74</v>
      </c>
      <c r="O15" s="84">
        <v>0.0522</v>
      </c>
      <c r="R15" s="88"/>
      <c r="S15" s="88"/>
      <c r="T15" s="78" t="s">
        <v>517</v>
      </c>
      <c r="U15" s="78" t="s">
        <v>329</v>
      </c>
      <c r="V15" s="78" t="s">
        <v>518</v>
      </c>
      <c r="W15" s="78" t="s">
        <v>519</v>
      </c>
      <c r="X15" s="78" t="s">
        <v>517</v>
      </c>
      <c r="Y15" s="78" t="s">
        <v>329</v>
      </c>
      <c r="Z15" s="78" t="s">
        <v>518</v>
      </c>
      <c r="AA15" s="78" t="s">
        <v>519</v>
      </c>
      <c r="AB15" s="78" t="s">
        <v>517</v>
      </c>
      <c r="AC15" s="78" t="s">
        <v>329</v>
      </c>
      <c r="AD15" s="78" t="s">
        <v>518</v>
      </c>
      <c r="AE15" s="78" t="s">
        <v>519</v>
      </c>
    </row>
    <row r="16" spans="1:31">
      <c r="A16" s="71">
        <v>15</v>
      </c>
      <c r="B16" s="71" t="s">
        <v>543</v>
      </c>
      <c r="C16" s="71">
        <v>733</v>
      </c>
      <c r="D16" s="73">
        <v>-0.036</v>
      </c>
      <c r="E16" s="71">
        <v>7.36</v>
      </c>
      <c r="F16" s="73">
        <v>0.0323</v>
      </c>
      <c r="I16" s="79">
        <v>15</v>
      </c>
      <c r="J16" s="79" t="s">
        <v>525</v>
      </c>
      <c r="K16" s="79" t="s">
        <v>544</v>
      </c>
      <c r="L16" s="79">
        <v>27</v>
      </c>
      <c r="M16" s="83">
        <v>-0.4656</v>
      </c>
      <c r="N16" s="79">
        <v>0.36</v>
      </c>
      <c r="O16" s="83">
        <v>0.0714</v>
      </c>
      <c r="R16" s="89"/>
      <c r="S16" s="89"/>
      <c r="T16" s="90">
        <v>502</v>
      </c>
      <c r="U16" s="94">
        <v>-0.6598</v>
      </c>
      <c r="V16" s="90">
        <v>7.09</v>
      </c>
      <c r="W16" s="94">
        <v>0.0822</v>
      </c>
      <c r="X16" s="91">
        <v>357</v>
      </c>
      <c r="Y16" s="95">
        <v>-0.6079</v>
      </c>
      <c r="Z16" s="91">
        <v>2.28</v>
      </c>
      <c r="AA16" s="95">
        <v>0.0816</v>
      </c>
      <c r="AB16" s="91">
        <v>317</v>
      </c>
      <c r="AC16" s="95">
        <v>-0.3023</v>
      </c>
      <c r="AD16" s="91">
        <v>7.87</v>
      </c>
      <c r="AE16" s="95">
        <v>0.0826</v>
      </c>
    </row>
    <row r="17" spans="1:31">
      <c r="A17" s="74">
        <v>16</v>
      </c>
      <c r="B17" s="74" t="s">
        <v>545</v>
      </c>
      <c r="C17" s="74">
        <v>633</v>
      </c>
      <c r="D17" s="76">
        <v>-0.4727</v>
      </c>
      <c r="E17" s="74">
        <v>3.21</v>
      </c>
      <c r="F17" s="76">
        <v>0.0554</v>
      </c>
      <c r="I17" s="81">
        <v>16</v>
      </c>
      <c r="J17" s="81" t="s">
        <v>525</v>
      </c>
      <c r="K17" s="81" t="s">
        <v>541</v>
      </c>
      <c r="L17" s="81">
        <v>27</v>
      </c>
      <c r="M17" s="84">
        <v>-0.3487</v>
      </c>
      <c r="N17" s="81">
        <v>0.44</v>
      </c>
      <c r="O17" s="84">
        <v>0.0569</v>
      </c>
      <c r="R17" s="88">
        <v>6</v>
      </c>
      <c r="S17" s="88" t="s">
        <v>528</v>
      </c>
      <c r="T17" s="54" t="s">
        <v>337</v>
      </c>
      <c r="U17" s="54"/>
      <c r="V17" s="54"/>
      <c r="W17" s="54"/>
      <c r="X17" s="54" t="s">
        <v>344</v>
      </c>
      <c r="Y17" s="54"/>
      <c r="Z17" s="54"/>
      <c r="AA17" s="54"/>
      <c r="AB17" s="54" t="s">
        <v>355</v>
      </c>
      <c r="AC17" s="54"/>
      <c r="AD17" s="54"/>
      <c r="AE17" s="54"/>
    </row>
    <row r="18" spans="1:31">
      <c r="A18" s="71">
        <v>17</v>
      </c>
      <c r="B18" s="71" t="s">
        <v>546</v>
      </c>
      <c r="C18" s="71">
        <v>626</v>
      </c>
      <c r="D18" s="73">
        <v>-0.6526</v>
      </c>
      <c r="E18" s="71">
        <v>3.17</v>
      </c>
      <c r="F18" s="73">
        <v>0.0513</v>
      </c>
      <c r="I18" s="79">
        <v>17</v>
      </c>
      <c r="J18" s="79" t="s">
        <v>525</v>
      </c>
      <c r="K18" s="79" t="s">
        <v>538</v>
      </c>
      <c r="L18" s="79">
        <v>27</v>
      </c>
      <c r="M18" s="83">
        <v>-0.5769</v>
      </c>
      <c r="N18" s="79">
        <v>0.78</v>
      </c>
      <c r="O18" s="83">
        <v>0.0493</v>
      </c>
      <c r="R18" s="88"/>
      <c r="S18" s="88"/>
      <c r="T18" s="78" t="s">
        <v>517</v>
      </c>
      <c r="U18" s="78" t="s">
        <v>329</v>
      </c>
      <c r="V18" s="78" t="s">
        <v>518</v>
      </c>
      <c r="W18" s="78" t="s">
        <v>519</v>
      </c>
      <c r="X18" s="78" t="s">
        <v>517</v>
      </c>
      <c r="Y18" s="78" t="s">
        <v>329</v>
      </c>
      <c r="Z18" s="78" t="s">
        <v>518</v>
      </c>
      <c r="AA18" s="78" t="s">
        <v>519</v>
      </c>
      <c r="AB18" s="78" t="s">
        <v>517</v>
      </c>
      <c r="AC18" s="78" t="s">
        <v>329</v>
      </c>
      <c r="AD18" s="78" t="s">
        <v>518</v>
      </c>
      <c r="AE18" s="78" t="s">
        <v>519</v>
      </c>
    </row>
    <row r="19" spans="1:31">
      <c r="A19" s="74">
        <v>18</v>
      </c>
      <c r="B19" s="74" t="s">
        <v>547</v>
      </c>
      <c r="C19" s="74">
        <v>623</v>
      </c>
      <c r="D19" s="76">
        <v>-0.3005</v>
      </c>
      <c r="E19" s="74">
        <v>2.27</v>
      </c>
      <c r="F19" s="76">
        <v>0.0749</v>
      </c>
      <c r="I19" s="81">
        <v>18</v>
      </c>
      <c r="J19" s="81" t="s">
        <v>525</v>
      </c>
      <c r="K19" s="81" t="s">
        <v>548</v>
      </c>
      <c r="L19" s="81">
        <v>25</v>
      </c>
      <c r="M19" s="84">
        <v>-0.5896</v>
      </c>
      <c r="N19" s="81">
        <v>0.28</v>
      </c>
      <c r="O19" s="84">
        <v>0.0554</v>
      </c>
      <c r="R19" s="89"/>
      <c r="S19" s="89"/>
      <c r="T19" s="90">
        <v>345</v>
      </c>
      <c r="U19" s="94">
        <v>-0.4491</v>
      </c>
      <c r="V19" s="90">
        <v>5.64</v>
      </c>
      <c r="W19" s="94">
        <v>0.0652</v>
      </c>
      <c r="X19" s="90">
        <v>295</v>
      </c>
      <c r="Y19" s="94">
        <v>-0.5882</v>
      </c>
      <c r="Z19" s="90">
        <v>2.38</v>
      </c>
      <c r="AA19" s="94">
        <v>0.0518</v>
      </c>
      <c r="AB19" s="90">
        <v>267</v>
      </c>
      <c r="AC19" s="94">
        <v>-0.7499</v>
      </c>
      <c r="AD19" s="90">
        <v>2.21</v>
      </c>
      <c r="AE19" s="94">
        <v>0.0705</v>
      </c>
    </row>
    <row r="20" spans="1:31">
      <c r="A20" s="71">
        <v>19</v>
      </c>
      <c r="B20" s="71" t="s">
        <v>549</v>
      </c>
      <c r="C20" s="71">
        <v>622</v>
      </c>
      <c r="D20" s="73">
        <v>0.0962</v>
      </c>
      <c r="E20" s="71">
        <v>3.91</v>
      </c>
      <c r="F20" s="73">
        <v>0.042</v>
      </c>
      <c r="I20" s="79">
        <v>19</v>
      </c>
      <c r="J20" s="79" t="s">
        <v>525</v>
      </c>
      <c r="K20" s="79" t="s">
        <v>550</v>
      </c>
      <c r="L20" s="79">
        <v>21</v>
      </c>
      <c r="M20" s="83">
        <v>-0.1446</v>
      </c>
      <c r="N20" s="79">
        <v>0.69</v>
      </c>
      <c r="O20" s="83">
        <v>0.0378</v>
      </c>
      <c r="R20" s="88">
        <v>7</v>
      </c>
      <c r="S20" s="88" t="s">
        <v>530</v>
      </c>
      <c r="T20" s="54" t="s">
        <v>344</v>
      </c>
      <c r="U20" s="54"/>
      <c r="V20" s="54"/>
      <c r="W20" s="54"/>
      <c r="X20" s="54" t="s">
        <v>337</v>
      </c>
      <c r="Y20" s="54"/>
      <c r="Z20" s="54"/>
      <c r="AA20" s="54"/>
      <c r="AB20" s="54" t="s">
        <v>355</v>
      </c>
      <c r="AC20" s="54"/>
      <c r="AD20" s="54"/>
      <c r="AE20" s="54"/>
    </row>
    <row r="21" spans="1:31">
      <c r="A21" s="74">
        <v>20</v>
      </c>
      <c r="B21" s="74" t="s">
        <v>551</v>
      </c>
      <c r="C21" s="74">
        <v>622</v>
      </c>
      <c r="D21" s="76">
        <v>-0.4902</v>
      </c>
      <c r="E21" s="74">
        <v>3.89</v>
      </c>
      <c r="F21" s="76">
        <v>0.0419</v>
      </c>
      <c r="I21" s="81">
        <v>20</v>
      </c>
      <c r="J21" s="81" t="s">
        <v>525</v>
      </c>
      <c r="K21" s="81" t="s">
        <v>532</v>
      </c>
      <c r="L21" s="81">
        <v>21</v>
      </c>
      <c r="M21" s="84">
        <v>-0.6774</v>
      </c>
      <c r="N21" s="81">
        <v>0.53</v>
      </c>
      <c r="O21" s="84">
        <v>0.038</v>
      </c>
      <c r="R21" s="88"/>
      <c r="S21" s="88"/>
      <c r="T21" s="78" t="s">
        <v>517</v>
      </c>
      <c r="U21" s="78" t="s">
        <v>329</v>
      </c>
      <c r="V21" s="78" t="s">
        <v>518</v>
      </c>
      <c r="W21" s="78" t="s">
        <v>519</v>
      </c>
      <c r="X21" s="78" t="s">
        <v>517</v>
      </c>
      <c r="Y21" s="78" t="s">
        <v>329</v>
      </c>
      <c r="Z21" s="78" t="s">
        <v>518</v>
      </c>
      <c r="AA21" s="78" t="s">
        <v>519</v>
      </c>
      <c r="AB21" s="78" t="s">
        <v>517</v>
      </c>
      <c r="AC21" s="78" t="s">
        <v>329</v>
      </c>
      <c r="AD21" s="78" t="s">
        <v>518</v>
      </c>
      <c r="AE21" s="78" t="s">
        <v>519</v>
      </c>
    </row>
    <row r="22" spans="9:31">
      <c r="I22" s="79">
        <v>1</v>
      </c>
      <c r="J22" s="80" t="s">
        <v>355</v>
      </c>
      <c r="K22" s="79" t="s">
        <v>522</v>
      </c>
      <c r="L22" s="79">
        <v>898</v>
      </c>
      <c r="M22" s="83">
        <v>-0.4963</v>
      </c>
      <c r="N22" s="79">
        <v>11.64</v>
      </c>
      <c r="O22" s="83">
        <v>0.0765</v>
      </c>
      <c r="R22" s="89"/>
      <c r="S22" s="89"/>
      <c r="T22" s="91">
        <v>297</v>
      </c>
      <c r="U22" s="95">
        <v>-0.4828</v>
      </c>
      <c r="V22" s="91">
        <v>2.01</v>
      </c>
      <c r="W22" s="95">
        <v>0.064</v>
      </c>
      <c r="X22" s="90">
        <v>236</v>
      </c>
      <c r="Y22" s="94">
        <v>-0.2684</v>
      </c>
      <c r="Z22" s="90">
        <v>3.63</v>
      </c>
      <c r="AA22" s="94">
        <v>0.0577</v>
      </c>
      <c r="AB22" s="91">
        <v>226</v>
      </c>
      <c r="AC22" s="95">
        <v>-0.4166</v>
      </c>
      <c r="AD22" s="91">
        <v>1.38</v>
      </c>
      <c r="AE22" s="95">
        <v>0.0854</v>
      </c>
    </row>
    <row r="23" spans="9:19">
      <c r="I23" s="79">
        <v>5</v>
      </c>
      <c r="J23" s="80" t="s">
        <v>344</v>
      </c>
      <c r="K23" s="79" t="s">
        <v>528</v>
      </c>
      <c r="L23" s="79">
        <v>295</v>
      </c>
      <c r="M23" s="83">
        <v>-0.5882</v>
      </c>
      <c r="N23" s="79">
        <v>2.38</v>
      </c>
      <c r="O23" s="83">
        <v>0.0518</v>
      </c>
      <c r="R23" s="92">
        <v>8</v>
      </c>
      <c r="S23" s="92" t="s">
        <v>532</v>
      </c>
    </row>
    <row r="24" spans="9:19">
      <c r="I24" s="79">
        <v>3</v>
      </c>
      <c r="J24" s="80" t="s">
        <v>352</v>
      </c>
      <c r="K24" s="79" t="s">
        <v>524</v>
      </c>
      <c r="L24" s="79">
        <v>296</v>
      </c>
      <c r="M24" s="85">
        <v>1.44</v>
      </c>
      <c r="N24" s="79">
        <v>14.51</v>
      </c>
      <c r="O24" s="83">
        <v>0.0553</v>
      </c>
      <c r="R24" s="92"/>
      <c r="S24" s="92"/>
    </row>
    <row r="25" spans="9:19">
      <c r="I25" s="79">
        <v>3</v>
      </c>
      <c r="J25" s="80" t="s">
        <v>334</v>
      </c>
      <c r="K25" s="79" t="s">
        <v>523</v>
      </c>
      <c r="L25" s="79">
        <v>362</v>
      </c>
      <c r="M25" s="83">
        <v>-0.6296</v>
      </c>
      <c r="N25" s="79">
        <v>13.54</v>
      </c>
      <c r="O25" s="83">
        <v>0.0597</v>
      </c>
      <c r="R25" s="93"/>
      <c r="S25" s="93"/>
    </row>
    <row r="26" spans="9:19">
      <c r="I26" s="79">
        <v>5</v>
      </c>
      <c r="J26" s="80" t="s">
        <v>370</v>
      </c>
      <c r="K26" s="79" t="s">
        <v>551</v>
      </c>
      <c r="L26" s="79">
        <v>170</v>
      </c>
      <c r="M26" s="83">
        <v>-0.2695</v>
      </c>
      <c r="N26" s="79">
        <v>3.1</v>
      </c>
      <c r="O26" s="83">
        <v>0.0515</v>
      </c>
      <c r="R26" s="92">
        <v>9</v>
      </c>
      <c r="S26" s="92" t="s">
        <v>534</v>
      </c>
    </row>
    <row r="27" spans="9:19">
      <c r="I27" s="79">
        <v>15</v>
      </c>
      <c r="J27" s="80" t="s">
        <v>337</v>
      </c>
      <c r="K27" s="79" t="s">
        <v>530</v>
      </c>
      <c r="L27" s="79">
        <v>236</v>
      </c>
      <c r="M27" s="83">
        <v>-0.2684</v>
      </c>
      <c r="N27" s="79">
        <v>3.63</v>
      </c>
      <c r="O27" s="83">
        <v>0.0577</v>
      </c>
      <c r="R27" s="92"/>
      <c r="S27" s="92"/>
    </row>
    <row r="28" spans="9:19">
      <c r="I28" s="81">
        <v>6</v>
      </c>
      <c r="J28" s="82" t="s">
        <v>337</v>
      </c>
      <c r="K28" s="81" t="s">
        <v>527</v>
      </c>
      <c r="L28" s="81">
        <v>456</v>
      </c>
      <c r="M28" s="84">
        <v>-0.5173</v>
      </c>
      <c r="N28" s="81">
        <v>9.56</v>
      </c>
      <c r="O28" s="84">
        <v>0.0656</v>
      </c>
      <c r="R28" s="93"/>
      <c r="S28" s="93"/>
    </row>
    <row r="29" spans="9:19">
      <c r="I29" s="81">
        <v>8</v>
      </c>
      <c r="J29" s="82" t="s">
        <v>370</v>
      </c>
      <c r="K29" s="81" t="s">
        <v>532</v>
      </c>
      <c r="L29" s="81">
        <v>138</v>
      </c>
      <c r="M29" s="84">
        <v>-0.6327</v>
      </c>
      <c r="N29" s="81">
        <v>4.15</v>
      </c>
      <c r="O29" s="84">
        <v>0.0325</v>
      </c>
      <c r="R29" s="92">
        <v>10</v>
      </c>
      <c r="S29" s="92" t="s">
        <v>535</v>
      </c>
    </row>
    <row r="30" spans="9:19">
      <c r="I30" s="79">
        <v>9</v>
      </c>
      <c r="J30" s="80" t="s">
        <v>370</v>
      </c>
      <c r="K30" s="79" t="s">
        <v>536</v>
      </c>
      <c r="L30" s="79">
        <v>125</v>
      </c>
      <c r="M30" s="83">
        <v>-0.691</v>
      </c>
      <c r="N30" s="79">
        <v>3.69</v>
      </c>
      <c r="O30" s="83">
        <v>0.0309</v>
      </c>
      <c r="R30" s="92"/>
      <c r="S30" s="92"/>
    </row>
    <row r="31" spans="9:19">
      <c r="I31" s="81">
        <v>10</v>
      </c>
      <c r="J31" s="82" t="s">
        <v>370</v>
      </c>
      <c r="K31" s="81" t="s">
        <v>538</v>
      </c>
      <c r="L31" s="81">
        <v>107</v>
      </c>
      <c r="M31" s="84">
        <v>-0.585</v>
      </c>
      <c r="N31" s="81">
        <v>2.67</v>
      </c>
      <c r="O31" s="84">
        <v>0.0358</v>
      </c>
      <c r="R31" s="93"/>
      <c r="S31" s="93"/>
    </row>
    <row r="32" spans="9:19">
      <c r="I32" s="79">
        <v>11</v>
      </c>
      <c r="J32" s="80" t="s">
        <v>370</v>
      </c>
      <c r="K32" s="79" t="s">
        <v>541</v>
      </c>
      <c r="L32" s="79">
        <v>104</v>
      </c>
      <c r="M32" s="83">
        <v>-0.7319</v>
      </c>
      <c r="N32" s="79">
        <v>1.95</v>
      </c>
      <c r="O32" s="83">
        <v>0.0477</v>
      </c>
      <c r="R32" s="92">
        <v>11</v>
      </c>
      <c r="S32" s="92" t="s">
        <v>537</v>
      </c>
    </row>
    <row r="33" spans="9:19">
      <c r="I33" s="81">
        <v>12</v>
      </c>
      <c r="J33" s="82" t="s">
        <v>370</v>
      </c>
      <c r="K33" s="81" t="s">
        <v>539</v>
      </c>
      <c r="L33" s="81">
        <v>97</v>
      </c>
      <c r="M33" s="84">
        <v>-0.2494</v>
      </c>
      <c r="N33" s="81">
        <v>1.84</v>
      </c>
      <c r="O33" s="84">
        <v>0.0426</v>
      </c>
      <c r="R33" s="92"/>
      <c r="S33" s="92"/>
    </row>
    <row r="34" spans="9:19">
      <c r="I34" s="79">
        <v>13</v>
      </c>
      <c r="J34" s="80" t="s">
        <v>370</v>
      </c>
      <c r="K34" s="79" t="s">
        <v>537</v>
      </c>
      <c r="L34" s="79">
        <v>95</v>
      </c>
      <c r="M34" s="83">
        <v>-0.6194</v>
      </c>
      <c r="N34" s="79">
        <v>3.03</v>
      </c>
      <c r="O34" s="83">
        <v>0.0246</v>
      </c>
      <c r="R34" s="93"/>
      <c r="S34" s="93"/>
    </row>
    <row r="35" spans="9:19">
      <c r="I35" s="81">
        <v>14</v>
      </c>
      <c r="J35" s="82" t="s">
        <v>370</v>
      </c>
      <c r="K35" s="81" t="s">
        <v>552</v>
      </c>
      <c r="L35" s="81">
        <v>94</v>
      </c>
      <c r="M35" s="84">
        <v>-0.5706</v>
      </c>
      <c r="N35" s="81">
        <v>1.49</v>
      </c>
      <c r="O35" s="84">
        <v>0.0564</v>
      </c>
      <c r="R35" s="92">
        <v>12</v>
      </c>
      <c r="S35" s="92" t="s">
        <v>538</v>
      </c>
    </row>
    <row r="36" spans="9:19">
      <c r="I36" s="79">
        <v>15</v>
      </c>
      <c r="J36" s="80" t="s">
        <v>370</v>
      </c>
      <c r="K36" s="79" t="s">
        <v>542</v>
      </c>
      <c r="L36" s="79">
        <v>86</v>
      </c>
      <c r="M36" s="83">
        <v>-0.244</v>
      </c>
      <c r="N36" s="79">
        <v>2.77</v>
      </c>
      <c r="O36" s="83">
        <v>0.0248</v>
      </c>
      <c r="R36" s="92"/>
      <c r="S36" s="92"/>
    </row>
    <row r="37" spans="9:19">
      <c r="I37" s="81">
        <v>16</v>
      </c>
      <c r="J37" s="82" t="s">
        <v>370</v>
      </c>
      <c r="K37" s="81" t="s">
        <v>553</v>
      </c>
      <c r="L37" s="81">
        <v>86</v>
      </c>
      <c r="M37" s="84">
        <v>-0.2893</v>
      </c>
      <c r="N37" s="81">
        <v>0.86</v>
      </c>
      <c r="O37" s="84">
        <v>0.0726</v>
      </c>
      <c r="R37" s="93"/>
      <c r="S37" s="93"/>
    </row>
    <row r="38" spans="9:19">
      <c r="I38" s="81">
        <v>2</v>
      </c>
      <c r="J38" s="82" t="s">
        <v>344</v>
      </c>
      <c r="K38" s="81" t="s">
        <v>529</v>
      </c>
      <c r="L38" s="81">
        <v>357</v>
      </c>
      <c r="M38" s="84">
        <v>-0.6079</v>
      </c>
      <c r="N38" s="81">
        <v>2.28</v>
      </c>
      <c r="O38" s="84">
        <v>0.0816</v>
      </c>
      <c r="R38" s="92">
        <v>13</v>
      </c>
      <c r="S38" s="92" t="s">
        <v>536</v>
      </c>
    </row>
    <row r="39" spans="9:19">
      <c r="I39" s="81">
        <v>18</v>
      </c>
      <c r="J39" s="82" t="s">
        <v>370</v>
      </c>
      <c r="K39" s="81" t="s">
        <v>544</v>
      </c>
      <c r="L39" s="81">
        <v>84</v>
      </c>
      <c r="M39" s="84">
        <v>-0.6972</v>
      </c>
      <c r="N39" s="81">
        <v>1.24</v>
      </c>
      <c r="O39" s="84">
        <v>0.0424</v>
      </c>
      <c r="R39" s="92"/>
      <c r="S39" s="92"/>
    </row>
    <row r="40" spans="9:19">
      <c r="I40" s="79">
        <v>19</v>
      </c>
      <c r="J40" s="80" t="s">
        <v>370</v>
      </c>
      <c r="K40" s="79" t="s">
        <v>554</v>
      </c>
      <c r="L40" s="79">
        <v>75</v>
      </c>
      <c r="M40" s="83">
        <v>0.2345</v>
      </c>
      <c r="N40" s="79">
        <v>0</v>
      </c>
      <c r="O40" s="79" t="s">
        <v>339</v>
      </c>
      <c r="R40" s="93"/>
      <c r="S40" s="93"/>
    </row>
    <row r="41" spans="9:19">
      <c r="I41" s="81">
        <v>4</v>
      </c>
      <c r="J41" s="82" t="s">
        <v>334</v>
      </c>
      <c r="K41" s="81" t="s">
        <v>529</v>
      </c>
      <c r="L41" s="81">
        <v>317</v>
      </c>
      <c r="M41" s="84">
        <v>-0.3023</v>
      </c>
      <c r="N41" s="81">
        <v>7.87</v>
      </c>
      <c r="O41" s="84">
        <v>0.0826</v>
      </c>
      <c r="R41" s="92">
        <v>14</v>
      </c>
      <c r="S41" s="92" t="s">
        <v>541</v>
      </c>
    </row>
    <row r="42" spans="9:19">
      <c r="I42" s="79">
        <v>1</v>
      </c>
      <c r="J42" s="80" t="s">
        <v>337</v>
      </c>
      <c r="K42" s="79" t="s">
        <v>522</v>
      </c>
      <c r="L42" s="79">
        <v>877</v>
      </c>
      <c r="M42" s="83">
        <v>-0.2961</v>
      </c>
      <c r="N42" s="79">
        <v>26.41</v>
      </c>
      <c r="O42" s="83">
        <v>0.052</v>
      </c>
      <c r="R42" s="92"/>
      <c r="S42" s="92"/>
    </row>
    <row r="43" spans="9:19">
      <c r="I43" s="79">
        <v>3</v>
      </c>
      <c r="J43" s="80" t="s">
        <v>344</v>
      </c>
      <c r="K43" s="79" t="s">
        <v>523</v>
      </c>
      <c r="L43" s="79">
        <v>324</v>
      </c>
      <c r="M43" s="83">
        <v>-0.803</v>
      </c>
      <c r="N43" s="79">
        <v>2.81</v>
      </c>
      <c r="O43" s="83">
        <v>0.0519</v>
      </c>
      <c r="R43" s="93"/>
      <c r="S43" s="93"/>
    </row>
    <row r="44" spans="9:19">
      <c r="I44" s="81">
        <v>2</v>
      </c>
      <c r="J44" s="82" t="s">
        <v>349</v>
      </c>
      <c r="K44" s="81" t="s">
        <v>535</v>
      </c>
      <c r="L44" s="81">
        <v>258</v>
      </c>
      <c r="M44" s="84">
        <v>0.6002</v>
      </c>
      <c r="N44" s="81">
        <v>4.81</v>
      </c>
      <c r="O44" s="84">
        <v>0.0447</v>
      </c>
      <c r="R44" s="92">
        <v>15</v>
      </c>
      <c r="S44" s="92" t="s">
        <v>543</v>
      </c>
    </row>
    <row r="45" spans="9:19">
      <c r="I45" s="81">
        <v>6</v>
      </c>
      <c r="J45" s="82" t="s">
        <v>344</v>
      </c>
      <c r="K45" s="81" t="s">
        <v>524</v>
      </c>
      <c r="L45" s="81">
        <v>284</v>
      </c>
      <c r="M45" s="84">
        <v>-0.4302</v>
      </c>
      <c r="N45" s="81">
        <v>2.48</v>
      </c>
      <c r="O45" s="84">
        <v>0.0589</v>
      </c>
      <c r="R45" s="92"/>
      <c r="S45" s="92"/>
    </row>
    <row r="46" spans="9:19">
      <c r="I46" s="79">
        <v>5</v>
      </c>
      <c r="J46" s="80" t="s">
        <v>337</v>
      </c>
      <c r="K46" s="79" t="s">
        <v>532</v>
      </c>
      <c r="L46" s="79">
        <v>460</v>
      </c>
      <c r="M46" s="83">
        <v>-0.3768</v>
      </c>
      <c r="N46" s="79">
        <v>11.79</v>
      </c>
      <c r="O46" s="83">
        <v>0.0496</v>
      </c>
      <c r="R46" s="93"/>
      <c r="S46" s="93"/>
    </row>
    <row r="47" spans="9:19">
      <c r="I47" s="81">
        <v>2</v>
      </c>
      <c r="J47" s="82" t="s">
        <v>334</v>
      </c>
      <c r="K47" s="81" t="s">
        <v>527</v>
      </c>
      <c r="L47" s="81">
        <v>389</v>
      </c>
      <c r="M47" s="84">
        <v>0.0162</v>
      </c>
      <c r="N47" s="81">
        <v>15</v>
      </c>
      <c r="O47" s="84">
        <v>0.0697</v>
      </c>
      <c r="R47" s="92">
        <v>16</v>
      </c>
      <c r="S47" s="92" t="s">
        <v>545</v>
      </c>
    </row>
    <row r="48" spans="9:19">
      <c r="I48" s="79">
        <v>3</v>
      </c>
      <c r="J48" s="80" t="s">
        <v>355</v>
      </c>
      <c r="K48" s="79" t="s">
        <v>528</v>
      </c>
      <c r="L48" s="79">
        <v>267</v>
      </c>
      <c r="M48" s="83">
        <v>-0.7499</v>
      </c>
      <c r="N48" s="79">
        <v>2.21</v>
      </c>
      <c r="O48" s="83">
        <v>0.0705</v>
      </c>
      <c r="R48" s="92"/>
      <c r="S48" s="92"/>
    </row>
    <row r="49" spans="9:19">
      <c r="I49" s="81">
        <v>8</v>
      </c>
      <c r="J49" s="82" t="s">
        <v>337</v>
      </c>
      <c r="K49" s="81" t="s">
        <v>534</v>
      </c>
      <c r="L49" s="81">
        <v>325</v>
      </c>
      <c r="M49" s="84">
        <v>0.1089</v>
      </c>
      <c r="N49" s="81">
        <v>6.8</v>
      </c>
      <c r="O49" s="84">
        <v>0.0507</v>
      </c>
      <c r="R49" s="93"/>
      <c r="S49" s="93"/>
    </row>
    <row r="50" spans="9:19">
      <c r="I50" s="79">
        <v>9</v>
      </c>
      <c r="J50" s="80" t="s">
        <v>337</v>
      </c>
      <c r="K50" s="79" t="s">
        <v>537</v>
      </c>
      <c r="L50" s="79">
        <v>287</v>
      </c>
      <c r="M50" s="83">
        <v>-0.388</v>
      </c>
      <c r="N50" s="79">
        <v>7.55</v>
      </c>
      <c r="O50" s="83">
        <v>0.0393</v>
      </c>
      <c r="R50" s="92">
        <v>17</v>
      </c>
      <c r="S50" s="92" t="s">
        <v>546</v>
      </c>
    </row>
    <row r="51" spans="9:19">
      <c r="I51" s="81">
        <v>10</v>
      </c>
      <c r="J51" s="82" t="s">
        <v>337</v>
      </c>
      <c r="K51" s="81" t="s">
        <v>538</v>
      </c>
      <c r="L51" s="81">
        <v>270</v>
      </c>
      <c r="M51" s="84">
        <v>-0.4419</v>
      </c>
      <c r="N51" s="81">
        <v>6.94</v>
      </c>
      <c r="O51" s="84">
        <v>0.0379</v>
      </c>
      <c r="R51" s="92"/>
      <c r="S51" s="92"/>
    </row>
    <row r="52" spans="9:19">
      <c r="I52" s="79">
        <v>11</v>
      </c>
      <c r="J52" s="80" t="s">
        <v>337</v>
      </c>
      <c r="K52" s="79" t="s">
        <v>536</v>
      </c>
      <c r="L52" s="79">
        <v>268</v>
      </c>
      <c r="M52" s="83">
        <v>-0.6331</v>
      </c>
      <c r="N52" s="79">
        <v>6.86</v>
      </c>
      <c r="O52" s="83">
        <v>0.0395</v>
      </c>
      <c r="R52" s="93"/>
      <c r="S52" s="93"/>
    </row>
    <row r="53" spans="9:19">
      <c r="I53" s="81">
        <v>12</v>
      </c>
      <c r="J53" s="82" t="s">
        <v>337</v>
      </c>
      <c r="K53" s="81" t="s">
        <v>549</v>
      </c>
      <c r="L53" s="81">
        <v>264</v>
      </c>
      <c r="M53" s="84">
        <v>0.0287</v>
      </c>
      <c r="N53" s="81">
        <v>5.53</v>
      </c>
      <c r="O53" s="84">
        <v>0.0483</v>
      </c>
      <c r="R53" s="92">
        <v>18</v>
      </c>
      <c r="S53" s="92" t="s">
        <v>547</v>
      </c>
    </row>
    <row r="54" spans="9:19">
      <c r="I54" s="79">
        <v>13</v>
      </c>
      <c r="J54" s="80" t="s">
        <v>337</v>
      </c>
      <c r="K54" s="79" t="s">
        <v>545</v>
      </c>
      <c r="L54" s="79">
        <v>251</v>
      </c>
      <c r="M54" s="83">
        <v>-0.6173</v>
      </c>
      <c r="N54" s="79">
        <v>4.08</v>
      </c>
      <c r="O54" s="83">
        <v>0.0615</v>
      </c>
      <c r="R54" s="92"/>
      <c r="S54" s="92"/>
    </row>
    <row r="55" spans="9:19">
      <c r="I55" s="81">
        <v>8</v>
      </c>
      <c r="J55" s="82" t="s">
        <v>344</v>
      </c>
      <c r="K55" s="81" t="s">
        <v>535</v>
      </c>
      <c r="L55" s="81">
        <v>252</v>
      </c>
      <c r="M55" s="84">
        <v>-0.2783</v>
      </c>
      <c r="N55" s="81">
        <v>3.28</v>
      </c>
      <c r="O55" s="84">
        <v>0.0418</v>
      </c>
      <c r="R55" s="93"/>
      <c r="S55" s="93"/>
    </row>
    <row r="56" spans="9:19">
      <c r="I56" s="81">
        <v>4</v>
      </c>
      <c r="J56" s="82" t="s">
        <v>355</v>
      </c>
      <c r="K56" s="81" t="s">
        <v>530</v>
      </c>
      <c r="L56" s="81">
        <v>226</v>
      </c>
      <c r="M56" s="84">
        <v>-0.4166</v>
      </c>
      <c r="N56" s="81">
        <v>1.38</v>
      </c>
      <c r="O56" s="84">
        <v>0.0854</v>
      </c>
      <c r="R56" s="92">
        <v>19</v>
      </c>
      <c r="S56" s="92" t="s">
        <v>549</v>
      </c>
    </row>
    <row r="57" spans="9:19">
      <c r="I57" s="81">
        <v>16</v>
      </c>
      <c r="J57" s="82" t="s">
        <v>337</v>
      </c>
      <c r="K57" s="81" t="s">
        <v>541</v>
      </c>
      <c r="L57" s="81">
        <v>225</v>
      </c>
      <c r="M57" s="84">
        <v>-0.6877</v>
      </c>
      <c r="N57" s="81">
        <v>4.02</v>
      </c>
      <c r="O57" s="84">
        <v>0.0563</v>
      </c>
      <c r="R57" s="92"/>
      <c r="S57" s="92"/>
    </row>
    <row r="58" spans="9:19">
      <c r="I58" s="79">
        <v>17</v>
      </c>
      <c r="J58" s="80" t="s">
        <v>337</v>
      </c>
      <c r="K58" s="79" t="s">
        <v>544</v>
      </c>
      <c r="L58" s="79">
        <v>217</v>
      </c>
      <c r="M58" s="83">
        <v>-0.1989</v>
      </c>
      <c r="N58" s="79">
        <v>2.77</v>
      </c>
      <c r="O58" s="83">
        <v>0.061</v>
      </c>
      <c r="R58" s="93"/>
      <c r="S58" s="93"/>
    </row>
    <row r="59" spans="9:19">
      <c r="I59" s="81">
        <v>18</v>
      </c>
      <c r="J59" s="82" t="s">
        <v>337</v>
      </c>
      <c r="K59" s="81" t="s">
        <v>543</v>
      </c>
      <c r="L59" s="81">
        <v>205</v>
      </c>
      <c r="M59" s="84">
        <v>-0.2908</v>
      </c>
      <c r="N59" s="81">
        <v>6.14</v>
      </c>
      <c r="O59" s="84">
        <v>0.0325</v>
      </c>
      <c r="R59" s="92">
        <v>20</v>
      </c>
      <c r="S59" s="92" t="s">
        <v>551</v>
      </c>
    </row>
    <row r="60" spans="9:19">
      <c r="I60" s="79">
        <v>19</v>
      </c>
      <c r="J60" s="80" t="s">
        <v>337</v>
      </c>
      <c r="K60" s="79" t="s">
        <v>555</v>
      </c>
      <c r="L60" s="79">
        <v>199</v>
      </c>
      <c r="M60" s="83">
        <v>-0.0388</v>
      </c>
      <c r="N60" s="79">
        <v>1.84</v>
      </c>
      <c r="O60" s="83">
        <v>0.081</v>
      </c>
      <c r="R60" s="92"/>
      <c r="S60" s="92"/>
    </row>
    <row r="61" spans="9:19">
      <c r="I61" s="81">
        <v>20</v>
      </c>
      <c r="J61" s="82" t="s">
        <v>337</v>
      </c>
      <c r="K61" s="81" t="s">
        <v>551</v>
      </c>
      <c r="L61" s="81">
        <v>194</v>
      </c>
      <c r="M61" s="84">
        <v>-0.5549</v>
      </c>
      <c r="N61" s="81">
        <v>3.9</v>
      </c>
      <c r="O61" s="84">
        <v>0.0431</v>
      </c>
      <c r="R61" s="93"/>
      <c r="S61" s="93"/>
    </row>
    <row r="62" spans="9:15">
      <c r="I62" s="79">
        <v>1</v>
      </c>
      <c r="J62" s="80" t="s">
        <v>334</v>
      </c>
      <c r="K62" s="79" t="s">
        <v>522</v>
      </c>
      <c r="L62" s="79">
        <v>742</v>
      </c>
      <c r="M62" s="83">
        <v>0.0425</v>
      </c>
      <c r="N62" s="79">
        <v>38.81</v>
      </c>
      <c r="O62" s="83">
        <v>0.0598</v>
      </c>
    </row>
    <row r="63" spans="9:15">
      <c r="I63" s="81">
        <v>2</v>
      </c>
      <c r="J63" s="82" t="s">
        <v>355</v>
      </c>
      <c r="K63" s="81" t="s">
        <v>523</v>
      </c>
      <c r="L63" s="81">
        <v>302</v>
      </c>
      <c r="M63" s="84">
        <v>-0.8562</v>
      </c>
      <c r="N63" s="81">
        <v>3.09</v>
      </c>
      <c r="O63" s="84">
        <v>0.059</v>
      </c>
    </row>
    <row r="64" spans="9:15">
      <c r="I64" s="81">
        <v>8</v>
      </c>
      <c r="J64" s="82" t="s">
        <v>334</v>
      </c>
      <c r="K64" s="81" t="s">
        <v>528</v>
      </c>
      <c r="L64" s="81">
        <v>247</v>
      </c>
      <c r="M64" s="84">
        <v>-0.0395</v>
      </c>
      <c r="N64" s="81">
        <v>8.04</v>
      </c>
      <c r="O64" s="84">
        <v>0.0604</v>
      </c>
    </row>
    <row r="65" spans="9:15">
      <c r="I65" s="79">
        <v>9</v>
      </c>
      <c r="J65" s="80" t="s">
        <v>334</v>
      </c>
      <c r="K65" s="79" t="s">
        <v>530</v>
      </c>
      <c r="L65" s="79">
        <v>222</v>
      </c>
      <c r="M65" s="83">
        <v>0.1576</v>
      </c>
      <c r="N65" s="79">
        <v>6.39</v>
      </c>
      <c r="O65" s="83">
        <v>0.0626</v>
      </c>
    </row>
    <row r="66" spans="9:15">
      <c r="I66" s="81">
        <v>14</v>
      </c>
      <c r="J66" s="82" t="s">
        <v>337</v>
      </c>
      <c r="K66" s="81" t="s">
        <v>535</v>
      </c>
      <c r="L66" s="81">
        <v>236</v>
      </c>
      <c r="M66" s="84">
        <v>-0.4643</v>
      </c>
      <c r="N66" s="81">
        <v>6.31</v>
      </c>
      <c r="O66" s="84">
        <v>0.038</v>
      </c>
    </row>
    <row r="67" spans="9:15">
      <c r="I67" s="81">
        <v>6</v>
      </c>
      <c r="J67" s="82" t="s">
        <v>355</v>
      </c>
      <c r="K67" s="81" t="s">
        <v>534</v>
      </c>
      <c r="L67" s="81">
        <v>213</v>
      </c>
      <c r="M67" s="84">
        <v>-0.2052</v>
      </c>
      <c r="N67" s="81">
        <v>2.68</v>
      </c>
      <c r="O67" s="84">
        <v>0.048</v>
      </c>
    </row>
    <row r="68" spans="9:15">
      <c r="I68" s="79">
        <v>7</v>
      </c>
      <c r="J68" s="80" t="s">
        <v>355</v>
      </c>
      <c r="K68" s="79" t="s">
        <v>537</v>
      </c>
      <c r="L68" s="79">
        <v>190</v>
      </c>
      <c r="M68" s="83">
        <v>-0.703</v>
      </c>
      <c r="N68" s="79">
        <v>1.79</v>
      </c>
      <c r="O68" s="83">
        <v>0.0543</v>
      </c>
    </row>
    <row r="69" spans="9:15">
      <c r="I69" s="81">
        <v>8</v>
      </c>
      <c r="J69" s="82" t="s">
        <v>355</v>
      </c>
      <c r="K69" s="81" t="s">
        <v>536</v>
      </c>
      <c r="L69" s="81">
        <v>174</v>
      </c>
      <c r="M69" s="84">
        <v>-0.774</v>
      </c>
      <c r="N69" s="81">
        <v>2.22</v>
      </c>
      <c r="O69" s="84">
        <v>0.0423</v>
      </c>
    </row>
    <row r="70" spans="9:15">
      <c r="I70" s="79">
        <v>9</v>
      </c>
      <c r="J70" s="80" t="s">
        <v>355</v>
      </c>
      <c r="K70" s="79" t="s">
        <v>532</v>
      </c>
      <c r="L70" s="79">
        <v>166</v>
      </c>
      <c r="M70" s="83">
        <v>-0.8106</v>
      </c>
      <c r="N70" s="79">
        <v>2.06</v>
      </c>
      <c r="O70" s="83">
        <v>0.0434</v>
      </c>
    </row>
    <row r="71" spans="9:15">
      <c r="I71" s="81">
        <v>10</v>
      </c>
      <c r="J71" s="82" t="s">
        <v>355</v>
      </c>
      <c r="K71" s="81" t="s">
        <v>541</v>
      </c>
      <c r="L71" s="81">
        <v>165</v>
      </c>
      <c r="M71" s="84">
        <v>-0.7167</v>
      </c>
      <c r="N71" s="81">
        <v>1.4</v>
      </c>
      <c r="O71" s="84">
        <v>0.0686</v>
      </c>
    </row>
    <row r="72" spans="9:15">
      <c r="I72" s="81">
        <v>10</v>
      </c>
      <c r="J72" s="82" t="s">
        <v>334</v>
      </c>
      <c r="K72" s="81" t="s">
        <v>524</v>
      </c>
      <c r="L72" s="81">
        <v>220</v>
      </c>
      <c r="M72" s="84">
        <v>0.1974</v>
      </c>
      <c r="N72" s="81">
        <v>8.97</v>
      </c>
      <c r="O72" s="84">
        <v>0.0492</v>
      </c>
    </row>
    <row r="73" spans="9:15">
      <c r="I73" s="81">
        <v>4</v>
      </c>
      <c r="J73" s="82" t="s">
        <v>352</v>
      </c>
      <c r="K73" s="81" t="s">
        <v>527</v>
      </c>
      <c r="L73" s="81">
        <v>287</v>
      </c>
      <c r="M73" s="84">
        <v>0.1848</v>
      </c>
      <c r="N73" s="81">
        <v>12.84</v>
      </c>
      <c r="O73" s="84">
        <v>0.0615</v>
      </c>
    </row>
    <row r="74" spans="9:15">
      <c r="I74" s="79">
        <v>13</v>
      </c>
      <c r="J74" s="80" t="s">
        <v>355</v>
      </c>
      <c r="K74" s="79" t="s">
        <v>538</v>
      </c>
      <c r="L74" s="79">
        <v>143</v>
      </c>
      <c r="M74" s="83">
        <v>-0.7482</v>
      </c>
      <c r="N74" s="79">
        <v>1.62</v>
      </c>
      <c r="O74" s="83">
        <v>0.0434</v>
      </c>
    </row>
    <row r="75" spans="9:15">
      <c r="I75" s="81">
        <v>14</v>
      </c>
      <c r="J75" s="82" t="s">
        <v>355</v>
      </c>
      <c r="K75" s="81" t="s">
        <v>544</v>
      </c>
      <c r="L75" s="81">
        <v>141</v>
      </c>
      <c r="M75" s="84">
        <v>-0.7263</v>
      </c>
      <c r="N75" s="81">
        <v>0.77</v>
      </c>
      <c r="O75" s="97">
        <v>0.07</v>
      </c>
    </row>
    <row r="76" spans="9:15">
      <c r="I76" s="79">
        <v>15</v>
      </c>
      <c r="J76" s="80" t="s">
        <v>355</v>
      </c>
      <c r="K76" s="79" t="s">
        <v>551</v>
      </c>
      <c r="L76" s="79">
        <v>135</v>
      </c>
      <c r="M76" s="83">
        <v>-0.5916</v>
      </c>
      <c r="N76" s="79">
        <v>1.47</v>
      </c>
      <c r="O76" s="83">
        <v>0.0435</v>
      </c>
    </row>
    <row r="77" spans="9:15">
      <c r="I77" s="81">
        <v>16</v>
      </c>
      <c r="J77" s="82" t="s">
        <v>355</v>
      </c>
      <c r="K77" s="81" t="s">
        <v>547</v>
      </c>
      <c r="L77" s="81">
        <v>131</v>
      </c>
      <c r="M77" s="84">
        <v>-0.612</v>
      </c>
      <c r="N77" s="81">
        <v>0.9</v>
      </c>
      <c r="O77" s="84">
        <v>0.0742</v>
      </c>
    </row>
    <row r="78" spans="9:15">
      <c r="I78" s="79">
        <v>17</v>
      </c>
      <c r="J78" s="80" t="s">
        <v>355</v>
      </c>
      <c r="K78" s="79" t="s">
        <v>546</v>
      </c>
      <c r="L78" s="79">
        <v>127</v>
      </c>
      <c r="M78" s="83">
        <v>-0.7894</v>
      </c>
      <c r="N78" s="79">
        <v>1.29</v>
      </c>
      <c r="O78" s="83">
        <v>0.0463</v>
      </c>
    </row>
    <row r="79" spans="9:15">
      <c r="I79" s="79">
        <v>5</v>
      </c>
      <c r="J79" s="80" t="s">
        <v>355</v>
      </c>
      <c r="K79" s="79" t="s">
        <v>529</v>
      </c>
      <c r="L79" s="79">
        <v>226</v>
      </c>
      <c r="M79" s="83">
        <v>-0.5532</v>
      </c>
      <c r="N79" s="79">
        <v>1.95</v>
      </c>
      <c r="O79" s="83">
        <v>0.0696</v>
      </c>
    </row>
    <row r="80" spans="9:15">
      <c r="I80" s="79">
        <v>19</v>
      </c>
      <c r="J80" s="80" t="s">
        <v>355</v>
      </c>
      <c r="K80" s="79" t="s">
        <v>545</v>
      </c>
      <c r="L80" s="79">
        <v>116</v>
      </c>
      <c r="M80" s="83">
        <v>-0.661</v>
      </c>
      <c r="N80" s="79">
        <v>0.97</v>
      </c>
      <c r="O80" s="83">
        <v>0.0588</v>
      </c>
    </row>
    <row r="81" spans="9:15">
      <c r="I81" s="81">
        <v>20</v>
      </c>
      <c r="J81" s="82" t="s">
        <v>355</v>
      </c>
      <c r="K81" s="81" t="s">
        <v>533</v>
      </c>
      <c r="L81" s="81">
        <v>114</v>
      </c>
      <c r="M81" s="84">
        <v>-0.4444</v>
      </c>
      <c r="N81" s="81">
        <v>0.69</v>
      </c>
      <c r="O81" s="84">
        <v>0.0649</v>
      </c>
    </row>
    <row r="82" spans="9:15">
      <c r="I82" s="79">
        <v>1</v>
      </c>
      <c r="J82" s="80" t="s">
        <v>349</v>
      </c>
      <c r="K82" s="79" t="s">
        <v>522</v>
      </c>
      <c r="L82" s="79">
        <v>712</v>
      </c>
      <c r="M82" s="83">
        <v>0.5532</v>
      </c>
      <c r="N82" s="79">
        <v>18.8</v>
      </c>
      <c r="O82" s="83">
        <v>0.0638</v>
      </c>
    </row>
    <row r="83" spans="9:15">
      <c r="I83" s="79">
        <v>3</v>
      </c>
      <c r="J83" s="80" t="s">
        <v>349</v>
      </c>
      <c r="K83" s="79" t="s">
        <v>523</v>
      </c>
      <c r="L83" s="79">
        <v>198</v>
      </c>
      <c r="M83" s="83">
        <v>0.3679</v>
      </c>
      <c r="N83" s="79">
        <v>2.84</v>
      </c>
      <c r="O83" s="83">
        <v>0.0598</v>
      </c>
    </row>
    <row r="84" spans="9:15">
      <c r="I84" s="79">
        <v>3</v>
      </c>
      <c r="J84" s="80" t="s">
        <v>373</v>
      </c>
      <c r="K84" s="79" t="s">
        <v>546</v>
      </c>
      <c r="L84" s="79">
        <v>101</v>
      </c>
      <c r="M84" s="83">
        <v>-0.6279</v>
      </c>
      <c r="N84" s="79">
        <v>0.87</v>
      </c>
      <c r="O84" s="83">
        <v>0.0605</v>
      </c>
    </row>
    <row r="85" spans="9:15">
      <c r="I85" s="81">
        <v>6</v>
      </c>
      <c r="J85" s="82" t="s">
        <v>370</v>
      </c>
      <c r="K85" s="81" t="s">
        <v>530</v>
      </c>
      <c r="L85" s="81">
        <v>146</v>
      </c>
      <c r="M85" s="84">
        <v>-0.3441</v>
      </c>
      <c r="N85" s="81">
        <v>3.14</v>
      </c>
      <c r="O85" s="84">
        <v>0.0417</v>
      </c>
    </row>
    <row r="86" spans="9:15">
      <c r="I86" s="81">
        <v>2</v>
      </c>
      <c r="J86" s="82" t="s">
        <v>370</v>
      </c>
      <c r="K86" s="81" t="s">
        <v>528</v>
      </c>
      <c r="L86" s="81">
        <v>228</v>
      </c>
      <c r="M86" s="84">
        <v>-0.597</v>
      </c>
      <c r="N86" s="81">
        <v>4.16</v>
      </c>
      <c r="O86" s="84">
        <v>0.061</v>
      </c>
    </row>
    <row r="87" spans="9:15">
      <c r="I87" s="79">
        <v>9</v>
      </c>
      <c r="J87" s="80" t="s">
        <v>352</v>
      </c>
      <c r="K87" s="79" t="s">
        <v>535</v>
      </c>
      <c r="L87" s="79">
        <v>212</v>
      </c>
      <c r="M87" s="83">
        <v>0.4969</v>
      </c>
      <c r="N87" s="79">
        <v>13.01</v>
      </c>
      <c r="O87" s="83">
        <v>0.0402</v>
      </c>
    </row>
    <row r="88" spans="9:15">
      <c r="I88" s="79">
        <v>7</v>
      </c>
      <c r="J88" s="80" t="s">
        <v>344</v>
      </c>
      <c r="K88" s="79" t="s">
        <v>527</v>
      </c>
      <c r="L88" s="79">
        <v>270</v>
      </c>
      <c r="M88" s="83">
        <v>-0.6982</v>
      </c>
      <c r="N88" s="79">
        <v>3.58</v>
      </c>
      <c r="O88" s="83">
        <v>0.0397</v>
      </c>
    </row>
    <row r="89" spans="9:15">
      <c r="I89" s="81">
        <v>8</v>
      </c>
      <c r="J89" s="82" t="s">
        <v>373</v>
      </c>
      <c r="K89" s="81" t="s">
        <v>534</v>
      </c>
      <c r="L89" s="81">
        <v>94</v>
      </c>
      <c r="M89" s="84">
        <v>0.1377</v>
      </c>
      <c r="N89" s="81">
        <v>1.89</v>
      </c>
      <c r="O89" s="84">
        <v>0.0294</v>
      </c>
    </row>
    <row r="90" spans="9:15">
      <c r="I90" s="79">
        <v>9</v>
      </c>
      <c r="J90" s="80" t="s">
        <v>373</v>
      </c>
      <c r="K90" s="79" t="s">
        <v>541</v>
      </c>
      <c r="L90" s="79">
        <v>88</v>
      </c>
      <c r="M90" s="83">
        <v>-0.5591</v>
      </c>
      <c r="N90" s="79">
        <v>0.77</v>
      </c>
      <c r="O90" s="83">
        <v>0.0673</v>
      </c>
    </row>
    <row r="91" spans="9:15">
      <c r="I91" s="79">
        <v>3</v>
      </c>
      <c r="J91" s="80" t="s">
        <v>370</v>
      </c>
      <c r="K91" s="79" t="s">
        <v>524</v>
      </c>
      <c r="L91" s="79">
        <v>186</v>
      </c>
      <c r="M91" s="83">
        <v>-0.2217</v>
      </c>
      <c r="N91" s="79">
        <v>3.6</v>
      </c>
      <c r="O91" s="83">
        <v>0.0541</v>
      </c>
    </row>
    <row r="92" spans="9:15">
      <c r="I92" s="79">
        <v>11</v>
      </c>
      <c r="J92" s="80" t="s">
        <v>373</v>
      </c>
      <c r="K92" s="79" t="s">
        <v>551</v>
      </c>
      <c r="L92" s="79">
        <v>78</v>
      </c>
      <c r="M92" s="83">
        <v>-0.3934</v>
      </c>
      <c r="N92" s="79">
        <v>0.8</v>
      </c>
      <c r="O92" s="83">
        <v>0.0498</v>
      </c>
    </row>
    <row r="93" spans="9:15">
      <c r="I93" s="81">
        <v>12</v>
      </c>
      <c r="J93" s="82" t="s">
        <v>373</v>
      </c>
      <c r="K93" s="81" t="s">
        <v>545</v>
      </c>
      <c r="L93" s="81">
        <v>74</v>
      </c>
      <c r="M93" s="84">
        <v>-0.3537</v>
      </c>
      <c r="N93" s="81">
        <v>0.61</v>
      </c>
      <c r="O93" s="84">
        <v>0.0695</v>
      </c>
    </row>
    <row r="94" spans="9:15">
      <c r="I94" s="79">
        <v>11</v>
      </c>
      <c r="J94" s="80" t="s">
        <v>352</v>
      </c>
      <c r="K94" s="79" t="s">
        <v>529</v>
      </c>
      <c r="L94" s="79">
        <v>191</v>
      </c>
      <c r="M94" s="83">
        <v>-0.5102</v>
      </c>
      <c r="N94" s="79">
        <v>6.24</v>
      </c>
      <c r="O94" s="83">
        <v>0.0591</v>
      </c>
    </row>
    <row r="95" spans="9:15">
      <c r="I95" s="81">
        <v>14</v>
      </c>
      <c r="J95" s="82" t="s">
        <v>373</v>
      </c>
      <c r="K95" s="81" t="s">
        <v>556</v>
      </c>
      <c r="L95" s="81">
        <v>66</v>
      </c>
      <c r="M95" s="84">
        <v>0.0623</v>
      </c>
      <c r="N95" s="81">
        <v>0.67</v>
      </c>
      <c r="O95" s="84">
        <v>0.0499</v>
      </c>
    </row>
    <row r="96" spans="9:15">
      <c r="I96" s="79">
        <v>15</v>
      </c>
      <c r="J96" s="80" t="s">
        <v>373</v>
      </c>
      <c r="K96" s="79" t="s">
        <v>555</v>
      </c>
      <c r="L96" s="79">
        <v>65</v>
      </c>
      <c r="M96" s="83">
        <v>0.3867</v>
      </c>
      <c r="N96" s="79">
        <v>0.4</v>
      </c>
      <c r="O96" s="83">
        <v>0.0687</v>
      </c>
    </row>
    <row r="97" spans="9:15">
      <c r="I97" s="81">
        <v>16</v>
      </c>
      <c r="J97" s="82" t="s">
        <v>373</v>
      </c>
      <c r="K97" s="81" t="s">
        <v>537</v>
      </c>
      <c r="L97" s="81">
        <v>65</v>
      </c>
      <c r="M97" s="84">
        <v>-0.3823</v>
      </c>
      <c r="N97" s="81">
        <v>0.58</v>
      </c>
      <c r="O97" s="84">
        <v>0.0472</v>
      </c>
    </row>
    <row r="98" spans="9:15">
      <c r="I98" s="79">
        <v>17</v>
      </c>
      <c r="J98" s="80" t="s">
        <v>373</v>
      </c>
      <c r="K98" s="79" t="s">
        <v>536</v>
      </c>
      <c r="L98" s="79">
        <v>63</v>
      </c>
      <c r="M98" s="83">
        <v>-0.3481</v>
      </c>
      <c r="N98" s="79">
        <v>0.63</v>
      </c>
      <c r="O98" s="83">
        <v>0.0481</v>
      </c>
    </row>
    <row r="99" spans="9:15">
      <c r="I99" s="81">
        <v>18</v>
      </c>
      <c r="J99" s="82" t="s">
        <v>373</v>
      </c>
      <c r="K99" s="81" t="s">
        <v>543</v>
      </c>
      <c r="L99" s="81">
        <v>63</v>
      </c>
      <c r="M99" s="84">
        <v>0.1586</v>
      </c>
      <c r="N99" s="81">
        <v>1.04</v>
      </c>
      <c r="O99" s="84">
        <v>0.0342</v>
      </c>
    </row>
    <row r="100" spans="9:15">
      <c r="I100" s="79">
        <v>19</v>
      </c>
      <c r="J100" s="80" t="s">
        <v>373</v>
      </c>
      <c r="K100" s="79" t="s">
        <v>538</v>
      </c>
      <c r="L100" s="79">
        <v>63</v>
      </c>
      <c r="M100" s="83">
        <v>-0.3013</v>
      </c>
      <c r="N100" s="79">
        <v>0.58</v>
      </c>
      <c r="O100" s="83">
        <v>0.0455</v>
      </c>
    </row>
    <row r="101" spans="9:15">
      <c r="I101" s="81">
        <v>20</v>
      </c>
      <c r="J101" s="82" t="s">
        <v>373</v>
      </c>
      <c r="K101" s="81" t="s">
        <v>526</v>
      </c>
      <c r="L101" s="81">
        <v>63</v>
      </c>
      <c r="M101" s="84">
        <v>-0.3042</v>
      </c>
      <c r="N101" s="81">
        <v>0.44</v>
      </c>
      <c r="O101" s="84">
        <v>0.0634</v>
      </c>
    </row>
    <row r="102" spans="9:15">
      <c r="I102" s="79">
        <v>1</v>
      </c>
      <c r="J102" s="80" t="s">
        <v>352</v>
      </c>
      <c r="K102" s="79" t="s">
        <v>522</v>
      </c>
      <c r="L102" s="79">
        <v>658</v>
      </c>
      <c r="M102" s="83">
        <v>-0.0119</v>
      </c>
      <c r="N102" s="79">
        <v>32.48</v>
      </c>
      <c r="O102" s="83">
        <v>0.0637</v>
      </c>
    </row>
    <row r="103" spans="9:15">
      <c r="I103" s="79">
        <v>5</v>
      </c>
      <c r="J103" s="80" t="s">
        <v>349</v>
      </c>
      <c r="K103" s="79" t="s">
        <v>530</v>
      </c>
      <c r="L103" s="79">
        <v>144</v>
      </c>
      <c r="M103" s="83">
        <v>1.0018</v>
      </c>
      <c r="N103" s="79">
        <v>1.69</v>
      </c>
      <c r="O103" s="83">
        <v>0.0658</v>
      </c>
    </row>
    <row r="104" spans="9:15">
      <c r="I104" s="81">
        <v>4</v>
      </c>
      <c r="J104" s="82" t="s">
        <v>349</v>
      </c>
      <c r="K104" s="81" t="s">
        <v>528</v>
      </c>
      <c r="L104" s="81">
        <v>167</v>
      </c>
      <c r="M104" s="84">
        <v>0.5664</v>
      </c>
      <c r="N104" s="81">
        <v>2.34</v>
      </c>
      <c r="O104" s="84">
        <v>0.0655</v>
      </c>
    </row>
    <row r="105" spans="9:15">
      <c r="I105" s="81">
        <v>4</v>
      </c>
      <c r="J105" s="82" t="s">
        <v>557</v>
      </c>
      <c r="K105" s="81" t="s">
        <v>547</v>
      </c>
      <c r="L105" s="81">
        <v>38</v>
      </c>
      <c r="M105" s="84">
        <v>-0.2286</v>
      </c>
      <c r="N105" s="81">
        <v>4.7</v>
      </c>
      <c r="O105" s="84">
        <v>0.0491</v>
      </c>
    </row>
    <row r="106" spans="9:15">
      <c r="I106" s="81">
        <v>4</v>
      </c>
      <c r="J106" s="82" t="s">
        <v>370</v>
      </c>
      <c r="K106" s="81" t="s">
        <v>523</v>
      </c>
      <c r="L106" s="81">
        <v>170</v>
      </c>
      <c r="M106" s="84">
        <v>-0.736</v>
      </c>
      <c r="N106" s="81">
        <v>3.17</v>
      </c>
      <c r="O106" s="84">
        <v>0.051</v>
      </c>
    </row>
    <row r="107" spans="9:15">
      <c r="I107" s="81">
        <v>6</v>
      </c>
      <c r="J107" s="82" t="s">
        <v>557</v>
      </c>
      <c r="K107" s="81" t="s">
        <v>540</v>
      </c>
      <c r="L107" s="81">
        <v>35</v>
      </c>
      <c r="M107" s="84">
        <v>-0.0331</v>
      </c>
      <c r="N107" s="81">
        <v>5.33</v>
      </c>
      <c r="O107" s="84">
        <v>0.0423</v>
      </c>
    </row>
    <row r="108" spans="9:15">
      <c r="I108" s="79">
        <v>7</v>
      </c>
      <c r="J108" s="80" t="s">
        <v>557</v>
      </c>
      <c r="K108" s="79" t="s">
        <v>552</v>
      </c>
      <c r="L108" s="79">
        <v>30</v>
      </c>
      <c r="M108" s="83">
        <v>-0.5267</v>
      </c>
      <c r="N108" s="79">
        <v>9.85</v>
      </c>
      <c r="O108" s="83">
        <v>0.0194</v>
      </c>
    </row>
    <row r="109" spans="9:15">
      <c r="I109" s="81">
        <v>8</v>
      </c>
      <c r="J109" s="82" t="s">
        <v>557</v>
      </c>
      <c r="K109" s="81" t="s">
        <v>526</v>
      </c>
      <c r="L109" s="81">
        <v>30</v>
      </c>
      <c r="M109" s="84">
        <v>-0.0738</v>
      </c>
      <c r="N109" s="81">
        <v>3.25</v>
      </c>
      <c r="O109" s="84">
        <v>0.0533</v>
      </c>
    </row>
    <row r="110" spans="9:15">
      <c r="I110" s="79">
        <v>9</v>
      </c>
      <c r="J110" s="80" t="s">
        <v>557</v>
      </c>
      <c r="K110" s="79" t="s">
        <v>532</v>
      </c>
      <c r="L110" s="79">
        <v>29</v>
      </c>
      <c r="M110" s="83">
        <v>-0.0756</v>
      </c>
      <c r="N110" s="79">
        <v>18.89</v>
      </c>
      <c r="O110" s="83">
        <v>0.0093</v>
      </c>
    </row>
    <row r="111" spans="9:15">
      <c r="I111" s="79">
        <v>11</v>
      </c>
      <c r="J111" s="80" t="s">
        <v>355</v>
      </c>
      <c r="K111" s="79" t="s">
        <v>524</v>
      </c>
      <c r="L111" s="79">
        <v>158</v>
      </c>
      <c r="M111" s="83">
        <v>-0.4849</v>
      </c>
      <c r="N111" s="79">
        <v>1.94</v>
      </c>
      <c r="O111" s="83">
        <v>0.0426</v>
      </c>
    </row>
    <row r="112" spans="9:15">
      <c r="I112" s="79">
        <v>11</v>
      </c>
      <c r="J112" s="80" t="s">
        <v>557</v>
      </c>
      <c r="K112" s="79" t="s">
        <v>536</v>
      </c>
      <c r="L112" s="79">
        <v>27</v>
      </c>
      <c r="M112" s="83">
        <v>-0.3861</v>
      </c>
      <c r="N112" s="79">
        <v>17.97</v>
      </c>
      <c r="O112" s="83">
        <v>0.0085</v>
      </c>
    </row>
    <row r="113" spans="9:15">
      <c r="I113" s="81">
        <v>12</v>
      </c>
      <c r="J113" s="82" t="s">
        <v>557</v>
      </c>
      <c r="K113" s="81" t="s">
        <v>537</v>
      </c>
      <c r="L113" s="81">
        <v>26</v>
      </c>
      <c r="M113" s="84">
        <v>-0.2314</v>
      </c>
      <c r="N113" s="81">
        <v>13.49</v>
      </c>
      <c r="O113" s="84">
        <v>0.0111</v>
      </c>
    </row>
    <row r="114" spans="9:15">
      <c r="I114" s="79">
        <v>13</v>
      </c>
      <c r="J114" s="80" t="s">
        <v>557</v>
      </c>
      <c r="K114" s="79" t="s">
        <v>553</v>
      </c>
      <c r="L114" s="79">
        <v>26</v>
      </c>
      <c r="M114" s="83">
        <v>-0.1802</v>
      </c>
      <c r="N114" s="79">
        <v>3.29</v>
      </c>
      <c r="O114" s="83">
        <v>0.0486</v>
      </c>
    </row>
    <row r="115" spans="9:15">
      <c r="I115" s="81">
        <v>14</v>
      </c>
      <c r="J115" s="82" t="s">
        <v>557</v>
      </c>
      <c r="K115" s="81" t="s">
        <v>531</v>
      </c>
      <c r="L115" s="81">
        <v>25</v>
      </c>
      <c r="M115" s="97">
        <v>2.52</v>
      </c>
      <c r="N115" s="81">
        <v>3</v>
      </c>
      <c r="O115" s="84">
        <v>0.0481</v>
      </c>
    </row>
    <row r="116" spans="9:15">
      <c r="I116" s="79">
        <v>15</v>
      </c>
      <c r="J116" s="80" t="s">
        <v>557</v>
      </c>
      <c r="K116" s="79" t="s">
        <v>538</v>
      </c>
      <c r="L116" s="79">
        <v>22</v>
      </c>
      <c r="M116" s="83">
        <v>-0.5229</v>
      </c>
      <c r="N116" s="79">
        <v>7.71</v>
      </c>
      <c r="O116" s="83">
        <v>0.0163</v>
      </c>
    </row>
    <row r="117" spans="9:15">
      <c r="I117" s="81">
        <v>16</v>
      </c>
      <c r="J117" s="82" t="s">
        <v>557</v>
      </c>
      <c r="K117" s="81" t="s">
        <v>543</v>
      </c>
      <c r="L117" s="81">
        <v>21</v>
      </c>
      <c r="M117" s="84">
        <v>-0.0685</v>
      </c>
      <c r="N117" s="81">
        <v>10.81</v>
      </c>
      <c r="O117" s="84">
        <v>0.0104</v>
      </c>
    </row>
    <row r="118" spans="9:15">
      <c r="I118" s="79">
        <v>17</v>
      </c>
      <c r="J118" s="80" t="s">
        <v>557</v>
      </c>
      <c r="K118" s="79" t="s">
        <v>558</v>
      </c>
      <c r="L118" s="79">
        <v>20</v>
      </c>
      <c r="M118" s="85">
        <v>-0.2</v>
      </c>
      <c r="N118" s="79">
        <v>1.79</v>
      </c>
      <c r="O118" s="83">
        <v>0.0453</v>
      </c>
    </row>
    <row r="119" spans="9:15">
      <c r="I119" s="81">
        <v>18</v>
      </c>
      <c r="J119" s="82" t="s">
        <v>557</v>
      </c>
      <c r="K119" s="81" t="s">
        <v>539</v>
      </c>
      <c r="L119" s="81">
        <v>19</v>
      </c>
      <c r="M119" s="84">
        <v>0.4048</v>
      </c>
      <c r="N119" s="81">
        <v>7.48</v>
      </c>
      <c r="O119" s="84">
        <v>0.0102</v>
      </c>
    </row>
    <row r="120" spans="9:15">
      <c r="I120" s="81">
        <v>12</v>
      </c>
      <c r="J120" s="82" t="s">
        <v>355</v>
      </c>
      <c r="K120" s="81" t="s">
        <v>527</v>
      </c>
      <c r="L120" s="81">
        <v>153</v>
      </c>
      <c r="M120" s="84">
        <v>-0.607</v>
      </c>
      <c r="N120" s="81">
        <v>1.67</v>
      </c>
      <c r="O120" s="84">
        <v>0.0512</v>
      </c>
    </row>
    <row r="121" spans="9:15">
      <c r="I121" s="81">
        <v>20</v>
      </c>
      <c r="J121" s="82" t="s">
        <v>557</v>
      </c>
      <c r="K121" s="81" t="s">
        <v>559</v>
      </c>
      <c r="L121" s="81">
        <v>18</v>
      </c>
      <c r="M121" s="84">
        <v>-0.1017</v>
      </c>
      <c r="N121" s="81">
        <v>1.23</v>
      </c>
      <c r="O121" s="84">
        <v>0.049</v>
      </c>
    </row>
    <row r="122" spans="9:15">
      <c r="I122" s="79">
        <v>1</v>
      </c>
      <c r="J122" s="80" t="s">
        <v>560</v>
      </c>
      <c r="K122" s="79" t="s">
        <v>522</v>
      </c>
      <c r="L122" s="79">
        <v>497</v>
      </c>
      <c r="M122" s="83">
        <v>0.0814</v>
      </c>
      <c r="N122" s="79">
        <v>31.38</v>
      </c>
      <c r="O122" s="83">
        <v>0.0454</v>
      </c>
    </row>
    <row r="123" spans="9:15">
      <c r="I123" s="81">
        <v>14</v>
      </c>
      <c r="J123" s="82" t="s">
        <v>334</v>
      </c>
      <c r="K123" s="81" t="s">
        <v>535</v>
      </c>
      <c r="L123" s="81">
        <v>187</v>
      </c>
      <c r="M123" s="84">
        <v>0.9639</v>
      </c>
      <c r="N123" s="81">
        <v>8.82</v>
      </c>
      <c r="O123" s="84">
        <v>0.0398</v>
      </c>
    </row>
    <row r="124" spans="9:15">
      <c r="I124" s="81">
        <v>16</v>
      </c>
      <c r="J124" s="82" t="s">
        <v>352</v>
      </c>
      <c r="K124" s="81" t="s">
        <v>523</v>
      </c>
      <c r="L124" s="81">
        <v>155</v>
      </c>
      <c r="M124" s="84">
        <v>-0.1994</v>
      </c>
      <c r="N124" s="81">
        <v>5.39</v>
      </c>
      <c r="O124" s="84">
        <v>0.0499</v>
      </c>
    </row>
    <row r="125" spans="9:15">
      <c r="I125" s="81">
        <v>4</v>
      </c>
      <c r="J125" s="82" t="s">
        <v>373</v>
      </c>
      <c r="K125" s="81" t="s">
        <v>530</v>
      </c>
      <c r="L125" s="81">
        <v>101</v>
      </c>
      <c r="M125" s="84">
        <v>-0.1476</v>
      </c>
      <c r="N125" s="81">
        <v>0.47</v>
      </c>
      <c r="O125" s="84">
        <v>0.0879</v>
      </c>
    </row>
    <row r="126" spans="9:15">
      <c r="I126" s="79">
        <v>3</v>
      </c>
      <c r="J126" s="80" t="s">
        <v>560</v>
      </c>
      <c r="K126" s="79" t="s">
        <v>528</v>
      </c>
      <c r="L126" s="79">
        <v>121</v>
      </c>
      <c r="M126" s="83">
        <v>-0.4041</v>
      </c>
      <c r="N126" s="79">
        <v>4.03</v>
      </c>
      <c r="O126" s="83">
        <v>0.0454</v>
      </c>
    </row>
    <row r="127" spans="9:15">
      <c r="I127" s="81">
        <v>6</v>
      </c>
      <c r="J127" s="82" t="s">
        <v>349</v>
      </c>
      <c r="K127" s="81" t="s">
        <v>524</v>
      </c>
      <c r="L127" s="81">
        <v>138</v>
      </c>
      <c r="M127" s="84">
        <v>0.2743</v>
      </c>
      <c r="N127" s="81">
        <v>3.53</v>
      </c>
      <c r="O127" s="84">
        <v>0.0333</v>
      </c>
    </row>
    <row r="128" spans="9:15">
      <c r="I128" s="79">
        <v>7</v>
      </c>
      <c r="J128" s="80" t="s">
        <v>370</v>
      </c>
      <c r="K128" s="79" t="s">
        <v>527</v>
      </c>
      <c r="L128" s="79">
        <v>140</v>
      </c>
      <c r="M128" s="83">
        <v>-0.5496</v>
      </c>
      <c r="N128" s="79">
        <v>3.87</v>
      </c>
      <c r="O128" s="83">
        <v>0.0378</v>
      </c>
    </row>
    <row r="129" spans="9:15">
      <c r="I129" s="81">
        <v>10</v>
      </c>
      <c r="J129" s="82" t="s">
        <v>349</v>
      </c>
      <c r="K129" s="81" t="s">
        <v>529</v>
      </c>
      <c r="L129" s="81">
        <v>132</v>
      </c>
      <c r="M129" s="84">
        <v>-0.2192</v>
      </c>
      <c r="N129" s="81">
        <v>1.73</v>
      </c>
      <c r="O129" s="84">
        <v>0.0669</v>
      </c>
    </row>
    <row r="130" spans="9:15">
      <c r="I130" s="79">
        <v>9</v>
      </c>
      <c r="J130" s="80" t="s">
        <v>344</v>
      </c>
      <c r="K130" s="79" t="s">
        <v>537</v>
      </c>
      <c r="L130" s="79">
        <v>230</v>
      </c>
      <c r="M130" s="83">
        <v>-0.5821</v>
      </c>
      <c r="N130" s="79">
        <v>2.48</v>
      </c>
      <c r="O130" s="83">
        <v>0.0368</v>
      </c>
    </row>
    <row r="131" spans="9:15">
      <c r="I131" s="81">
        <v>10</v>
      </c>
      <c r="J131" s="82" t="s">
        <v>344</v>
      </c>
      <c r="K131" s="81" t="s">
        <v>551</v>
      </c>
      <c r="L131" s="81">
        <v>216</v>
      </c>
      <c r="M131" s="84">
        <v>-0.6387</v>
      </c>
      <c r="N131" s="81">
        <v>2.81</v>
      </c>
      <c r="O131" s="84">
        <v>0.0344</v>
      </c>
    </row>
    <row r="132" spans="9:15">
      <c r="I132" s="79">
        <v>11</v>
      </c>
      <c r="J132" s="80" t="s">
        <v>344</v>
      </c>
      <c r="K132" s="79" t="s">
        <v>555</v>
      </c>
      <c r="L132" s="79">
        <v>208</v>
      </c>
      <c r="M132" s="83">
        <v>0.1915</v>
      </c>
      <c r="N132" s="79">
        <v>0.97</v>
      </c>
      <c r="O132" s="83">
        <v>0.0807</v>
      </c>
    </row>
    <row r="133" spans="9:15">
      <c r="I133" s="81">
        <v>12</v>
      </c>
      <c r="J133" s="82" t="s">
        <v>344</v>
      </c>
      <c r="K133" s="81" t="s">
        <v>543</v>
      </c>
      <c r="L133" s="81">
        <v>204</v>
      </c>
      <c r="M133" s="84">
        <v>-0.5795</v>
      </c>
      <c r="N133" s="81">
        <v>3.51</v>
      </c>
      <c r="O133" s="84">
        <v>0.0288</v>
      </c>
    </row>
    <row r="134" spans="9:15">
      <c r="I134" s="79">
        <v>13</v>
      </c>
      <c r="J134" s="80" t="s">
        <v>344</v>
      </c>
      <c r="K134" s="79" t="s">
        <v>547</v>
      </c>
      <c r="L134" s="79">
        <v>204</v>
      </c>
      <c r="M134" s="83">
        <v>-0.4605</v>
      </c>
      <c r="N134" s="79">
        <v>1.26</v>
      </c>
      <c r="O134" s="83">
        <v>0.0695</v>
      </c>
    </row>
    <row r="135" spans="9:15">
      <c r="I135" s="81">
        <v>14</v>
      </c>
      <c r="J135" s="82" t="s">
        <v>344</v>
      </c>
      <c r="K135" s="81" t="s">
        <v>541</v>
      </c>
      <c r="L135" s="81">
        <v>195</v>
      </c>
      <c r="M135" s="84">
        <v>-0.6625</v>
      </c>
      <c r="N135" s="81">
        <v>1.84</v>
      </c>
      <c r="O135" s="84">
        <v>0.0468</v>
      </c>
    </row>
    <row r="136" spans="9:15">
      <c r="I136" s="79">
        <v>15</v>
      </c>
      <c r="J136" s="80" t="s">
        <v>344</v>
      </c>
      <c r="K136" s="79" t="s">
        <v>534</v>
      </c>
      <c r="L136" s="79">
        <v>194</v>
      </c>
      <c r="M136" s="83">
        <v>-0.1346</v>
      </c>
      <c r="N136" s="79">
        <v>1.85</v>
      </c>
      <c r="O136" s="83">
        <v>0.0445</v>
      </c>
    </row>
    <row r="137" spans="9:15">
      <c r="I137" s="81">
        <v>16</v>
      </c>
      <c r="J137" s="82" t="s">
        <v>344</v>
      </c>
      <c r="K137" s="81" t="s">
        <v>536</v>
      </c>
      <c r="L137" s="81">
        <v>181</v>
      </c>
      <c r="M137" s="84">
        <v>-0.7702</v>
      </c>
      <c r="N137" s="81">
        <v>2.72</v>
      </c>
      <c r="O137" s="84">
        <v>0.0273</v>
      </c>
    </row>
    <row r="138" spans="9:15">
      <c r="I138" s="79">
        <v>17</v>
      </c>
      <c r="J138" s="80" t="s">
        <v>344</v>
      </c>
      <c r="K138" s="79" t="s">
        <v>538</v>
      </c>
      <c r="L138" s="79">
        <v>179</v>
      </c>
      <c r="M138" s="83">
        <v>-0.7626</v>
      </c>
      <c r="N138" s="79">
        <v>2.35</v>
      </c>
      <c r="O138" s="83">
        <v>0.0297</v>
      </c>
    </row>
    <row r="139" spans="9:15">
      <c r="I139" s="81">
        <v>18</v>
      </c>
      <c r="J139" s="82" t="s">
        <v>344</v>
      </c>
      <c r="K139" s="81" t="s">
        <v>532</v>
      </c>
      <c r="L139" s="81">
        <v>177</v>
      </c>
      <c r="M139" s="84">
        <v>-0.7197</v>
      </c>
      <c r="N139" s="81">
        <v>2.55</v>
      </c>
      <c r="O139" s="84">
        <v>0.0267</v>
      </c>
    </row>
    <row r="140" spans="9:15">
      <c r="I140" s="79">
        <v>19</v>
      </c>
      <c r="J140" s="80" t="s">
        <v>344</v>
      </c>
      <c r="K140" s="79" t="s">
        <v>539</v>
      </c>
      <c r="L140" s="79">
        <v>173</v>
      </c>
      <c r="M140" s="83">
        <v>-0.7648</v>
      </c>
      <c r="N140" s="79">
        <v>1.99</v>
      </c>
      <c r="O140" s="83">
        <v>0.0349</v>
      </c>
    </row>
    <row r="141" spans="9:15">
      <c r="I141" s="81">
        <v>20</v>
      </c>
      <c r="J141" s="82" t="s">
        <v>344</v>
      </c>
      <c r="K141" s="81" t="s">
        <v>553</v>
      </c>
      <c r="L141" s="81">
        <v>172</v>
      </c>
      <c r="M141" s="84">
        <v>-0.5939</v>
      </c>
      <c r="N141" s="81">
        <v>0.73</v>
      </c>
      <c r="O141" s="84">
        <v>0.0854</v>
      </c>
    </row>
    <row r="142" spans="9:15">
      <c r="I142" s="79">
        <v>1</v>
      </c>
      <c r="J142" s="80" t="s">
        <v>370</v>
      </c>
      <c r="K142" s="79" t="s">
        <v>522</v>
      </c>
      <c r="L142" s="79">
        <v>477</v>
      </c>
      <c r="M142" s="83">
        <v>-0.4973</v>
      </c>
      <c r="N142" s="79">
        <v>17.27</v>
      </c>
      <c r="O142" s="83">
        <v>0.0438</v>
      </c>
    </row>
    <row r="143" spans="9:15">
      <c r="I143" s="81">
        <v>2</v>
      </c>
      <c r="J143" s="82" t="s">
        <v>560</v>
      </c>
      <c r="K143" s="81" t="s">
        <v>524</v>
      </c>
      <c r="L143" s="81">
        <v>136</v>
      </c>
      <c r="M143" s="84">
        <v>0.1716</v>
      </c>
      <c r="N143" s="81">
        <v>5.22</v>
      </c>
      <c r="O143" s="84">
        <v>0.0423</v>
      </c>
    </row>
    <row r="144" spans="9:15">
      <c r="I144" s="81">
        <v>4</v>
      </c>
      <c r="J144" s="82" t="s">
        <v>392</v>
      </c>
      <c r="K144" s="81" t="s">
        <v>528</v>
      </c>
      <c r="L144" s="81">
        <v>102</v>
      </c>
      <c r="M144" s="84">
        <v>-0.357</v>
      </c>
      <c r="N144" s="81">
        <v>1.01</v>
      </c>
      <c r="O144" s="84">
        <v>0.0863</v>
      </c>
    </row>
    <row r="145" spans="9:15">
      <c r="I145" s="81">
        <v>18</v>
      </c>
      <c r="J145" s="82" t="s">
        <v>355</v>
      </c>
      <c r="K145" s="81" t="s">
        <v>535</v>
      </c>
      <c r="L145" s="81">
        <v>120</v>
      </c>
      <c r="M145" s="84">
        <v>0.0311</v>
      </c>
      <c r="N145" s="81">
        <v>1.6</v>
      </c>
      <c r="O145" s="84">
        <v>0.0363</v>
      </c>
    </row>
    <row r="146" spans="9:15">
      <c r="I146" s="81">
        <v>2</v>
      </c>
      <c r="J146" s="82" t="s">
        <v>373</v>
      </c>
      <c r="K146" s="81" t="s">
        <v>523</v>
      </c>
      <c r="L146" s="81">
        <v>122</v>
      </c>
      <c r="M146" s="84">
        <v>-0.5084</v>
      </c>
      <c r="N146" s="81">
        <v>0.96</v>
      </c>
      <c r="O146" s="84">
        <v>0.0757</v>
      </c>
    </row>
    <row r="147" spans="9:15">
      <c r="I147" s="81">
        <v>2</v>
      </c>
      <c r="J147" s="82" t="s">
        <v>557</v>
      </c>
      <c r="K147" s="81" t="s">
        <v>530</v>
      </c>
      <c r="L147" s="81">
        <v>100</v>
      </c>
      <c r="M147" s="84">
        <v>-0.0966</v>
      </c>
      <c r="N147" s="81">
        <v>24.72</v>
      </c>
      <c r="O147" s="84">
        <v>0.0364</v>
      </c>
    </row>
    <row r="148" spans="9:15">
      <c r="I148" s="79">
        <v>7</v>
      </c>
      <c r="J148" s="80" t="s">
        <v>560</v>
      </c>
      <c r="K148" s="79" t="s">
        <v>534</v>
      </c>
      <c r="L148" s="79">
        <v>80</v>
      </c>
      <c r="M148" s="83">
        <v>0.1051</v>
      </c>
      <c r="N148" s="79">
        <v>5.55</v>
      </c>
      <c r="O148" s="83">
        <v>0.0172</v>
      </c>
    </row>
    <row r="149" spans="9:15">
      <c r="I149" s="81">
        <v>8</v>
      </c>
      <c r="J149" s="82" t="s">
        <v>560</v>
      </c>
      <c r="K149" s="81" t="s">
        <v>547</v>
      </c>
      <c r="L149" s="81">
        <v>78</v>
      </c>
      <c r="M149" s="84">
        <v>-0.1442</v>
      </c>
      <c r="N149" s="81">
        <v>2.5</v>
      </c>
      <c r="O149" s="84">
        <v>0.0442</v>
      </c>
    </row>
    <row r="150" spans="9:15">
      <c r="I150" s="81">
        <v>2</v>
      </c>
      <c r="J150" s="82" t="s">
        <v>382</v>
      </c>
      <c r="K150" s="81" t="s">
        <v>527</v>
      </c>
      <c r="L150" s="81">
        <v>138</v>
      </c>
      <c r="M150" s="84">
        <v>-0.4727</v>
      </c>
      <c r="N150" s="81">
        <v>5.41</v>
      </c>
      <c r="O150" s="84">
        <v>0.0738</v>
      </c>
    </row>
    <row r="151" spans="9:15">
      <c r="I151" s="81">
        <v>10</v>
      </c>
      <c r="J151" s="82" t="s">
        <v>560</v>
      </c>
      <c r="K151" s="81" t="s">
        <v>546</v>
      </c>
      <c r="L151" s="81">
        <v>72</v>
      </c>
      <c r="M151" s="84">
        <v>-0.0557</v>
      </c>
      <c r="N151" s="81">
        <v>2.56</v>
      </c>
      <c r="O151" s="84">
        <v>0.0333</v>
      </c>
    </row>
    <row r="152" spans="9:15">
      <c r="I152" s="79">
        <v>11</v>
      </c>
      <c r="J152" s="80" t="s">
        <v>560</v>
      </c>
      <c r="K152" s="79" t="s">
        <v>541</v>
      </c>
      <c r="L152" s="79">
        <v>71</v>
      </c>
      <c r="M152" s="83">
        <v>-0.4493</v>
      </c>
      <c r="N152" s="79">
        <v>2.99</v>
      </c>
      <c r="O152" s="83">
        <v>0.0319</v>
      </c>
    </row>
    <row r="153" spans="9:15">
      <c r="I153" s="81">
        <v>12</v>
      </c>
      <c r="J153" s="82" t="s">
        <v>560</v>
      </c>
      <c r="K153" s="81" t="s">
        <v>561</v>
      </c>
      <c r="L153" s="81">
        <v>69</v>
      </c>
      <c r="M153" s="84">
        <v>-0.3654</v>
      </c>
      <c r="N153" s="81">
        <v>0.82</v>
      </c>
      <c r="O153" s="84">
        <v>0.0978</v>
      </c>
    </row>
    <row r="154" spans="9:15">
      <c r="I154" s="81">
        <v>4</v>
      </c>
      <c r="J154" s="82" t="s">
        <v>560</v>
      </c>
      <c r="K154" s="81" t="s">
        <v>535</v>
      </c>
      <c r="L154" s="81">
        <v>113</v>
      </c>
      <c r="M154" s="84">
        <v>0.1144</v>
      </c>
      <c r="N154" s="81">
        <v>6.36</v>
      </c>
      <c r="O154" s="84">
        <v>0.0208</v>
      </c>
    </row>
    <row r="155" spans="9:15">
      <c r="I155" s="81">
        <v>14</v>
      </c>
      <c r="J155" s="82" t="s">
        <v>560</v>
      </c>
      <c r="K155" s="81" t="s">
        <v>538</v>
      </c>
      <c r="L155" s="81">
        <v>63</v>
      </c>
      <c r="M155" s="84">
        <v>-0.4613</v>
      </c>
      <c r="N155" s="81">
        <v>3.58</v>
      </c>
      <c r="O155" s="84">
        <v>0.022</v>
      </c>
    </row>
    <row r="156" spans="9:15">
      <c r="I156" s="79">
        <v>15</v>
      </c>
      <c r="J156" s="80" t="s">
        <v>560</v>
      </c>
      <c r="K156" s="79" t="s">
        <v>562</v>
      </c>
      <c r="L156" s="79">
        <v>62</v>
      </c>
      <c r="M156" s="83">
        <v>-0.0891</v>
      </c>
      <c r="N156" s="79">
        <v>2.12</v>
      </c>
      <c r="O156" s="83">
        <v>0.0356</v>
      </c>
    </row>
    <row r="157" spans="9:15">
      <c r="I157" s="81">
        <v>16</v>
      </c>
      <c r="J157" s="82" t="s">
        <v>560</v>
      </c>
      <c r="K157" s="81" t="s">
        <v>542</v>
      </c>
      <c r="L157" s="81">
        <v>61</v>
      </c>
      <c r="M157" s="84">
        <v>0.2045</v>
      </c>
      <c r="N157" s="81">
        <v>3.59</v>
      </c>
      <c r="O157" s="84">
        <v>0.0185</v>
      </c>
    </row>
    <row r="158" spans="9:15">
      <c r="I158" s="79">
        <v>17</v>
      </c>
      <c r="J158" s="80" t="s">
        <v>560</v>
      </c>
      <c r="K158" s="79" t="s">
        <v>554</v>
      </c>
      <c r="L158" s="79">
        <v>60</v>
      </c>
      <c r="M158" s="83">
        <v>0.3965</v>
      </c>
      <c r="N158" s="79">
        <v>0</v>
      </c>
      <c r="O158" s="79" t="s">
        <v>339</v>
      </c>
    </row>
    <row r="159" spans="9:15">
      <c r="I159" s="81">
        <v>18</v>
      </c>
      <c r="J159" s="82" t="s">
        <v>560</v>
      </c>
      <c r="K159" s="81" t="s">
        <v>532</v>
      </c>
      <c r="L159" s="81">
        <v>57</v>
      </c>
      <c r="M159" s="84">
        <v>-0.5545</v>
      </c>
      <c r="N159" s="81">
        <v>3.85</v>
      </c>
      <c r="O159" s="84">
        <v>0.0179</v>
      </c>
    </row>
    <row r="160" spans="9:15">
      <c r="I160" s="79">
        <v>19</v>
      </c>
      <c r="J160" s="80" t="s">
        <v>560</v>
      </c>
      <c r="K160" s="79" t="s">
        <v>551</v>
      </c>
      <c r="L160" s="79">
        <v>56</v>
      </c>
      <c r="M160" s="83">
        <v>-0.5069</v>
      </c>
      <c r="N160" s="79">
        <v>2.47</v>
      </c>
      <c r="O160" s="83">
        <v>0.0236</v>
      </c>
    </row>
    <row r="161" spans="9:15">
      <c r="I161" s="81">
        <v>20</v>
      </c>
      <c r="J161" s="82" t="s">
        <v>560</v>
      </c>
      <c r="K161" s="81" t="s">
        <v>555</v>
      </c>
      <c r="L161" s="81">
        <v>56</v>
      </c>
      <c r="M161" s="84">
        <v>0.4715</v>
      </c>
      <c r="N161" s="81">
        <v>1.58</v>
      </c>
      <c r="O161" s="84">
        <v>0.037</v>
      </c>
    </row>
    <row r="162" spans="9:15">
      <c r="I162" s="79">
        <v>1</v>
      </c>
      <c r="J162" s="80" t="s">
        <v>373</v>
      </c>
      <c r="K162" s="79" t="s">
        <v>522</v>
      </c>
      <c r="L162" s="79">
        <v>401</v>
      </c>
      <c r="M162" s="83">
        <v>-0.2657</v>
      </c>
      <c r="N162" s="79">
        <v>4.42</v>
      </c>
      <c r="O162" s="83">
        <v>0.0808</v>
      </c>
    </row>
    <row r="163" spans="9:15">
      <c r="I163" s="81">
        <v>2</v>
      </c>
      <c r="J163" s="82" t="s">
        <v>392</v>
      </c>
      <c r="K163" s="81" t="s">
        <v>534</v>
      </c>
      <c r="L163" s="81">
        <v>121</v>
      </c>
      <c r="M163" s="84">
        <v>1.2842</v>
      </c>
      <c r="N163" s="81">
        <v>2.81</v>
      </c>
      <c r="O163" s="84">
        <v>0.0609</v>
      </c>
    </row>
    <row r="164" spans="9:15">
      <c r="I164" s="79">
        <v>3</v>
      </c>
      <c r="J164" s="80" t="s">
        <v>392</v>
      </c>
      <c r="K164" s="79" t="s">
        <v>523</v>
      </c>
      <c r="L164" s="79">
        <v>107</v>
      </c>
      <c r="M164" s="83">
        <v>-0.3789</v>
      </c>
      <c r="N164" s="79">
        <v>1.4</v>
      </c>
      <c r="O164" s="83">
        <v>0.0715</v>
      </c>
    </row>
    <row r="165" spans="9:15">
      <c r="I165" s="79">
        <v>5</v>
      </c>
      <c r="J165" s="80" t="s">
        <v>382</v>
      </c>
      <c r="K165" s="79" t="s">
        <v>528</v>
      </c>
      <c r="L165" s="79">
        <v>100</v>
      </c>
      <c r="M165" s="83">
        <v>-0.459</v>
      </c>
      <c r="N165" s="79">
        <v>2.91</v>
      </c>
      <c r="O165" s="83">
        <v>0.0601</v>
      </c>
    </row>
    <row r="166" spans="9:15">
      <c r="I166" s="81">
        <v>6</v>
      </c>
      <c r="J166" s="82" t="s">
        <v>560</v>
      </c>
      <c r="K166" s="81" t="s">
        <v>530</v>
      </c>
      <c r="L166" s="81">
        <v>93</v>
      </c>
      <c r="M166" s="84">
        <v>-0.0717</v>
      </c>
      <c r="N166" s="81">
        <v>2.69</v>
      </c>
      <c r="O166" s="84">
        <v>0.0467</v>
      </c>
    </row>
    <row r="167" spans="9:15">
      <c r="I167" s="81">
        <v>4</v>
      </c>
      <c r="J167" s="82" t="s">
        <v>382</v>
      </c>
      <c r="K167" s="81" t="s">
        <v>529</v>
      </c>
      <c r="L167" s="81">
        <v>108</v>
      </c>
      <c r="M167" s="84">
        <v>-0.3808</v>
      </c>
      <c r="N167" s="81">
        <v>2.64</v>
      </c>
      <c r="O167" s="84">
        <v>0.0912</v>
      </c>
    </row>
    <row r="168" spans="9:15">
      <c r="I168" s="79">
        <v>7</v>
      </c>
      <c r="J168" s="80" t="s">
        <v>392</v>
      </c>
      <c r="K168" s="79" t="s">
        <v>541</v>
      </c>
      <c r="L168" s="79">
        <v>73</v>
      </c>
      <c r="M168" s="85">
        <v>-0.25</v>
      </c>
      <c r="N168" s="79">
        <v>0.88</v>
      </c>
      <c r="O168" s="83">
        <v>0.0854</v>
      </c>
    </row>
    <row r="169" spans="9:15">
      <c r="I169" s="81">
        <v>8</v>
      </c>
      <c r="J169" s="82" t="s">
        <v>392</v>
      </c>
      <c r="K169" s="81" t="s">
        <v>563</v>
      </c>
      <c r="L169" s="81">
        <v>67</v>
      </c>
      <c r="M169" s="97">
        <v>0.83</v>
      </c>
      <c r="N169" s="81">
        <v>0.57</v>
      </c>
      <c r="O169" s="84">
        <v>0.1034</v>
      </c>
    </row>
    <row r="170" spans="9:15">
      <c r="I170" s="79">
        <v>3</v>
      </c>
      <c r="J170" s="80" t="s">
        <v>382</v>
      </c>
      <c r="K170" s="79" t="s">
        <v>524</v>
      </c>
      <c r="L170" s="79">
        <v>119</v>
      </c>
      <c r="M170" s="83">
        <v>-0.2383</v>
      </c>
      <c r="N170" s="79">
        <v>3.95</v>
      </c>
      <c r="O170" s="83">
        <v>0.0778</v>
      </c>
    </row>
    <row r="171" spans="9:15">
      <c r="I171" s="81">
        <v>8</v>
      </c>
      <c r="J171" s="82" t="s">
        <v>349</v>
      </c>
      <c r="K171" s="81" t="s">
        <v>527</v>
      </c>
      <c r="L171" s="81">
        <v>133</v>
      </c>
      <c r="M171" s="84">
        <v>0.2034</v>
      </c>
      <c r="N171" s="81">
        <v>2.15</v>
      </c>
      <c r="O171" s="84">
        <v>0.0571</v>
      </c>
    </row>
    <row r="172" spans="9:15">
      <c r="I172" s="79">
        <v>11</v>
      </c>
      <c r="J172" s="80" t="s">
        <v>392</v>
      </c>
      <c r="K172" s="79" t="s">
        <v>549</v>
      </c>
      <c r="L172" s="79">
        <v>61</v>
      </c>
      <c r="M172" s="83">
        <v>0.4529</v>
      </c>
      <c r="N172" s="79">
        <v>1.3</v>
      </c>
      <c r="O172" s="83">
        <v>0.0473</v>
      </c>
    </row>
    <row r="173" spans="9:15">
      <c r="I173" s="81">
        <v>12</v>
      </c>
      <c r="J173" s="82" t="s">
        <v>392</v>
      </c>
      <c r="K173" s="81" t="s">
        <v>546</v>
      </c>
      <c r="L173" s="81">
        <v>60</v>
      </c>
      <c r="M173" s="84">
        <v>0.1387</v>
      </c>
      <c r="N173" s="81">
        <v>0.73</v>
      </c>
      <c r="O173" s="84">
        <v>0.077</v>
      </c>
    </row>
    <row r="174" spans="9:15">
      <c r="I174" s="79">
        <v>13</v>
      </c>
      <c r="J174" s="80" t="s">
        <v>392</v>
      </c>
      <c r="K174" s="79" t="s">
        <v>536</v>
      </c>
      <c r="L174" s="79">
        <v>56</v>
      </c>
      <c r="M174" s="83">
        <v>0.1557</v>
      </c>
      <c r="N174" s="79">
        <v>0.69</v>
      </c>
      <c r="O174" s="83">
        <v>0.0626</v>
      </c>
    </row>
    <row r="175" spans="9:15">
      <c r="I175" s="81">
        <v>14</v>
      </c>
      <c r="J175" s="82" t="s">
        <v>392</v>
      </c>
      <c r="K175" s="81" t="s">
        <v>564</v>
      </c>
      <c r="L175" s="81">
        <v>51</v>
      </c>
      <c r="M175" s="84">
        <v>0.3757</v>
      </c>
      <c r="N175" s="81">
        <v>0.41</v>
      </c>
      <c r="O175" s="84">
        <v>0.1068</v>
      </c>
    </row>
    <row r="176" spans="9:15">
      <c r="I176" s="79">
        <v>15</v>
      </c>
      <c r="J176" s="80" t="s">
        <v>392</v>
      </c>
      <c r="K176" s="79" t="s">
        <v>551</v>
      </c>
      <c r="L176" s="79">
        <v>49</v>
      </c>
      <c r="M176" s="83">
        <v>-0.383</v>
      </c>
      <c r="N176" s="79">
        <v>0.68</v>
      </c>
      <c r="O176" s="83">
        <v>0.0567</v>
      </c>
    </row>
    <row r="177" spans="9:15">
      <c r="I177" s="81">
        <v>16</v>
      </c>
      <c r="J177" s="82" t="s">
        <v>392</v>
      </c>
      <c r="K177" s="81" t="s">
        <v>552</v>
      </c>
      <c r="L177" s="81">
        <v>47</v>
      </c>
      <c r="M177" s="84">
        <v>-0.1373</v>
      </c>
      <c r="N177" s="81">
        <v>0.39</v>
      </c>
      <c r="O177" s="84">
        <v>0.0876</v>
      </c>
    </row>
    <row r="178" spans="9:15">
      <c r="I178" s="79">
        <v>17</v>
      </c>
      <c r="J178" s="80" t="s">
        <v>392</v>
      </c>
      <c r="K178" s="79" t="s">
        <v>537</v>
      </c>
      <c r="L178" s="79">
        <v>47</v>
      </c>
      <c r="M178" s="83">
        <v>-0.4164</v>
      </c>
      <c r="N178" s="79">
        <v>0.6</v>
      </c>
      <c r="O178" s="83">
        <v>0.0527</v>
      </c>
    </row>
    <row r="179" spans="9:15">
      <c r="I179" s="81">
        <v>18</v>
      </c>
      <c r="J179" s="82" t="s">
        <v>392</v>
      </c>
      <c r="K179" s="81" t="s">
        <v>555</v>
      </c>
      <c r="L179" s="81">
        <v>46</v>
      </c>
      <c r="M179" s="84">
        <v>1.0187</v>
      </c>
      <c r="N179" s="81">
        <v>0.4</v>
      </c>
      <c r="O179" s="84">
        <v>0.0861</v>
      </c>
    </row>
    <row r="180" spans="9:15">
      <c r="I180" s="79">
        <v>19</v>
      </c>
      <c r="J180" s="80" t="s">
        <v>392</v>
      </c>
      <c r="K180" s="79" t="s">
        <v>565</v>
      </c>
      <c r="L180" s="79">
        <v>46</v>
      </c>
      <c r="M180" s="83">
        <v>0.5821</v>
      </c>
      <c r="N180" s="79">
        <v>0.45</v>
      </c>
      <c r="O180" s="83">
        <v>0.0951</v>
      </c>
    </row>
    <row r="181" spans="9:15">
      <c r="I181" s="81">
        <v>20</v>
      </c>
      <c r="J181" s="82" t="s">
        <v>392</v>
      </c>
      <c r="K181" s="81" t="s">
        <v>547</v>
      </c>
      <c r="L181" s="81">
        <v>45</v>
      </c>
      <c r="M181" s="97">
        <v>-0.16</v>
      </c>
      <c r="N181" s="81">
        <v>0.57</v>
      </c>
      <c r="O181" s="84">
        <v>0.0693</v>
      </c>
    </row>
    <row r="182" spans="9:15">
      <c r="I182" s="79">
        <v>1</v>
      </c>
      <c r="J182" s="80" t="s">
        <v>382</v>
      </c>
      <c r="K182" s="79" t="s">
        <v>522</v>
      </c>
      <c r="L182" s="79">
        <v>327</v>
      </c>
      <c r="M182" s="83">
        <v>-0.3087</v>
      </c>
      <c r="N182" s="79">
        <v>15.66</v>
      </c>
      <c r="O182" s="83">
        <v>0.0723</v>
      </c>
    </row>
    <row r="183" spans="9:15">
      <c r="I183" s="79">
        <v>5</v>
      </c>
      <c r="J183" s="80" t="s">
        <v>373</v>
      </c>
      <c r="K183" s="79" t="s">
        <v>528</v>
      </c>
      <c r="L183" s="79">
        <v>99</v>
      </c>
      <c r="M183" s="83">
        <v>-0.4017</v>
      </c>
      <c r="N183" s="79">
        <v>0.7</v>
      </c>
      <c r="O183" s="83">
        <v>0.0647</v>
      </c>
    </row>
    <row r="184" spans="9:15">
      <c r="I184" s="79">
        <v>5</v>
      </c>
      <c r="J184" s="80" t="s">
        <v>392</v>
      </c>
      <c r="K184" s="79" t="s">
        <v>530</v>
      </c>
      <c r="L184" s="79">
        <v>90</v>
      </c>
      <c r="M184" s="83">
        <v>-0.0718</v>
      </c>
      <c r="N184" s="79">
        <v>0.7</v>
      </c>
      <c r="O184" s="83">
        <v>0.1125</v>
      </c>
    </row>
    <row r="185" spans="9:15">
      <c r="I185" s="81">
        <v>10</v>
      </c>
      <c r="J185" s="82" t="s">
        <v>373</v>
      </c>
      <c r="K185" s="81" t="s">
        <v>524</v>
      </c>
      <c r="L185" s="81">
        <v>86</v>
      </c>
      <c r="M185" s="84">
        <v>-0.5271</v>
      </c>
      <c r="N185" s="81">
        <v>1.05</v>
      </c>
      <c r="O185" s="84">
        <v>0.046</v>
      </c>
    </row>
    <row r="186" spans="9:15">
      <c r="I186" s="79">
        <v>5</v>
      </c>
      <c r="J186" s="80" t="s">
        <v>417</v>
      </c>
      <c r="K186" s="79" t="s">
        <v>553</v>
      </c>
      <c r="L186" s="79">
        <v>27</v>
      </c>
      <c r="M186" s="83">
        <v>0.0978</v>
      </c>
      <c r="N186" s="79">
        <v>2.27</v>
      </c>
      <c r="O186" s="83">
        <v>0.0607</v>
      </c>
    </row>
    <row r="187" spans="9:15">
      <c r="I187" s="81">
        <v>6</v>
      </c>
      <c r="J187" s="82" t="s">
        <v>417</v>
      </c>
      <c r="K187" s="81" t="s">
        <v>542</v>
      </c>
      <c r="L187" s="81">
        <v>26</v>
      </c>
      <c r="M187" s="84">
        <v>-0.1121</v>
      </c>
      <c r="N187" s="81">
        <v>10.08</v>
      </c>
      <c r="O187" s="84">
        <v>0.0142</v>
      </c>
    </row>
    <row r="188" spans="9:15">
      <c r="I188" s="79">
        <v>7</v>
      </c>
      <c r="J188" s="80" t="s">
        <v>417</v>
      </c>
      <c r="K188" s="79" t="s">
        <v>532</v>
      </c>
      <c r="L188" s="79">
        <v>26</v>
      </c>
      <c r="M188" s="83">
        <v>-0.5903</v>
      </c>
      <c r="N188" s="79">
        <v>10.99</v>
      </c>
      <c r="O188" s="83">
        <v>0.0113</v>
      </c>
    </row>
    <row r="189" spans="9:15">
      <c r="I189" s="81">
        <v>2</v>
      </c>
      <c r="J189" s="81" t="s">
        <v>525</v>
      </c>
      <c r="K189" s="81" t="s">
        <v>523</v>
      </c>
      <c r="L189" s="81">
        <v>101</v>
      </c>
      <c r="M189" s="84">
        <v>-0.5423</v>
      </c>
      <c r="N189" s="81">
        <v>1.79</v>
      </c>
      <c r="O189" s="84">
        <v>0.0835</v>
      </c>
    </row>
    <row r="190" spans="9:15">
      <c r="I190" s="79">
        <v>9</v>
      </c>
      <c r="J190" s="80" t="s">
        <v>417</v>
      </c>
      <c r="K190" s="79" t="s">
        <v>540</v>
      </c>
      <c r="L190" s="79">
        <v>24</v>
      </c>
      <c r="M190" s="83">
        <v>0.2879</v>
      </c>
      <c r="N190" s="79">
        <v>3.89</v>
      </c>
      <c r="O190" s="83">
        <v>0.034</v>
      </c>
    </row>
    <row r="191" spans="9:15">
      <c r="I191" s="81">
        <v>6</v>
      </c>
      <c r="J191" s="82" t="s">
        <v>373</v>
      </c>
      <c r="K191" s="81" t="s">
        <v>529</v>
      </c>
      <c r="L191" s="81">
        <v>95</v>
      </c>
      <c r="M191" s="84">
        <v>-0.3613</v>
      </c>
      <c r="N191" s="81">
        <v>0.93</v>
      </c>
      <c r="O191" s="84">
        <v>0.0551</v>
      </c>
    </row>
    <row r="192" spans="9:15">
      <c r="I192" s="79">
        <v>11</v>
      </c>
      <c r="J192" s="80" t="s">
        <v>417</v>
      </c>
      <c r="K192" s="79" t="s">
        <v>538</v>
      </c>
      <c r="L192" s="79">
        <v>23</v>
      </c>
      <c r="M192" s="83">
        <v>-0.5775</v>
      </c>
      <c r="N192" s="79">
        <v>7.26</v>
      </c>
      <c r="O192" s="83">
        <v>0.0157</v>
      </c>
    </row>
    <row r="193" spans="9:15">
      <c r="I193" s="79">
        <v>7</v>
      </c>
      <c r="J193" s="80" t="s">
        <v>373</v>
      </c>
      <c r="K193" s="79" t="s">
        <v>527</v>
      </c>
      <c r="L193" s="79">
        <v>95</v>
      </c>
      <c r="M193" s="83">
        <v>-0.4533</v>
      </c>
      <c r="N193" s="79">
        <v>0.96</v>
      </c>
      <c r="O193" s="83">
        <v>0.065</v>
      </c>
    </row>
    <row r="194" spans="9:15">
      <c r="I194" s="79">
        <v>13</v>
      </c>
      <c r="J194" s="80" t="s">
        <v>417</v>
      </c>
      <c r="K194" s="79" t="s">
        <v>544</v>
      </c>
      <c r="L194" s="79">
        <v>21</v>
      </c>
      <c r="M194" s="83">
        <v>-0.4646</v>
      </c>
      <c r="N194" s="79">
        <v>4.15</v>
      </c>
      <c r="O194" s="83">
        <v>0.0274</v>
      </c>
    </row>
    <row r="195" spans="9:15">
      <c r="I195" s="81">
        <v>14</v>
      </c>
      <c r="J195" s="82" t="s">
        <v>417</v>
      </c>
      <c r="K195" s="81" t="s">
        <v>536</v>
      </c>
      <c r="L195" s="81">
        <v>21</v>
      </c>
      <c r="M195" s="84">
        <v>-0.5759</v>
      </c>
      <c r="N195" s="81">
        <v>9.64</v>
      </c>
      <c r="O195" s="84">
        <v>0.0096</v>
      </c>
    </row>
    <row r="196" spans="9:15">
      <c r="I196" s="79">
        <v>15</v>
      </c>
      <c r="J196" s="80" t="s">
        <v>417</v>
      </c>
      <c r="K196" s="79" t="s">
        <v>543</v>
      </c>
      <c r="L196" s="79">
        <v>20</v>
      </c>
      <c r="M196" s="83">
        <v>-0.3125</v>
      </c>
      <c r="N196" s="79">
        <v>8.21</v>
      </c>
      <c r="O196" s="83">
        <v>0.0142</v>
      </c>
    </row>
    <row r="197" spans="9:15">
      <c r="I197" s="81">
        <v>16</v>
      </c>
      <c r="J197" s="82" t="s">
        <v>417</v>
      </c>
      <c r="K197" s="81" t="s">
        <v>539</v>
      </c>
      <c r="L197" s="81">
        <v>20</v>
      </c>
      <c r="M197" s="84">
        <v>0.1607</v>
      </c>
      <c r="N197" s="81">
        <v>5.54</v>
      </c>
      <c r="O197" s="84">
        <v>0.0167</v>
      </c>
    </row>
    <row r="198" spans="9:15">
      <c r="I198" s="79">
        <v>17</v>
      </c>
      <c r="J198" s="80" t="s">
        <v>417</v>
      </c>
      <c r="K198" s="79" t="s">
        <v>566</v>
      </c>
      <c r="L198" s="79">
        <v>18</v>
      </c>
      <c r="M198" s="85">
        <v>0.25</v>
      </c>
      <c r="N198" s="79">
        <v>1.74</v>
      </c>
      <c r="O198" s="83">
        <v>0.0565</v>
      </c>
    </row>
    <row r="199" spans="9:15">
      <c r="I199" s="81">
        <v>18</v>
      </c>
      <c r="J199" s="82" t="s">
        <v>417</v>
      </c>
      <c r="K199" s="81" t="s">
        <v>567</v>
      </c>
      <c r="L199" s="81">
        <v>17</v>
      </c>
      <c r="M199" s="97">
        <v>0.04</v>
      </c>
      <c r="N199" s="81">
        <v>0.91</v>
      </c>
      <c r="O199" s="84">
        <v>0.0928</v>
      </c>
    </row>
    <row r="200" spans="9:15">
      <c r="I200" s="79">
        <v>1</v>
      </c>
      <c r="J200" s="80" t="s">
        <v>392</v>
      </c>
      <c r="K200" s="79" t="s">
        <v>522</v>
      </c>
      <c r="L200" s="79">
        <v>324</v>
      </c>
      <c r="M200" s="83">
        <v>-0.0918</v>
      </c>
      <c r="N200" s="79">
        <v>5.91</v>
      </c>
      <c r="O200" s="83">
        <v>0.0829</v>
      </c>
    </row>
    <row r="201" spans="9:15">
      <c r="I201" s="81">
        <v>4</v>
      </c>
      <c r="J201" s="81" t="s">
        <v>525</v>
      </c>
      <c r="K201" s="81" t="s">
        <v>528</v>
      </c>
      <c r="L201" s="81">
        <v>81</v>
      </c>
      <c r="M201" s="84">
        <v>-0.517</v>
      </c>
      <c r="N201" s="81">
        <v>1.79</v>
      </c>
      <c r="O201" s="84">
        <v>0.0738</v>
      </c>
    </row>
    <row r="202" spans="9:15">
      <c r="I202" s="79">
        <v>3</v>
      </c>
      <c r="J202" s="80" t="s">
        <v>433</v>
      </c>
      <c r="K202" s="79" t="s">
        <v>551</v>
      </c>
      <c r="L202" s="79">
        <v>29</v>
      </c>
      <c r="M202" s="83">
        <v>-0.2465</v>
      </c>
      <c r="N202" s="79">
        <v>1.43</v>
      </c>
      <c r="O202" s="83">
        <v>0.0442</v>
      </c>
    </row>
    <row r="203" spans="9:15">
      <c r="I203" s="79">
        <v>5</v>
      </c>
      <c r="J203" s="80" t="s">
        <v>560</v>
      </c>
      <c r="K203" s="79" t="s">
        <v>523</v>
      </c>
      <c r="L203" s="79">
        <v>97</v>
      </c>
      <c r="M203" s="83">
        <v>-0.4211</v>
      </c>
      <c r="N203" s="79">
        <v>4.76</v>
      </c>
      <c r="O203" s="83">
        <v>0.0268</v>
      </c>
    </row>
    <row r="204" spans="9:15">
      <c r="I204" s="79">
        <v>1</v>
      </c>
      <c r="J204" s="79" t="s">
        <v>525</v>
      </c>
      <c r="K204" s="79" t="s">
        <v>522</v>
      </c>
      <c r="L204" s="79">
        <v>246</v>
      </c>
      <c r="M204" s="83">
        <v>-0.281</v>
      </c>
      <c r="N204" s="79">
        <v>7.88</v>
      </c>
      <c r="O204" s="83">
        <v>0.0784</v>
      </c>
    </row>
    <row r="205" spans="9:15">
      <c r="I205" s="79">
        <v>9</v>
      </c>
      <c r="J205" s="80" t="s">
        <v>560</v>
      </c>
      <c r="K205" s="79" t="s">
        <v>527</v>
      </c>
      <c r="L205" s="79">
        <v>73</v>
      </c>
      <c r="M205" s="83">
        <v>-0.3269</v>
      </c>
      <c r="N205" s="79">
        <v>4.71</v>
      </c>
      <c r="O205" s="83">
        <v>0.022</v>
      </c>
    </row>
    <row r="206" spans="9:15">
      <c r="I206" s="81">
        <v>6</v>
      </c>
      <c r="J206" s="82" t="s">
        <v>382</v>
      </c>
      <c r="K206" s="81" t="s">
        <v>523</v>
      </c>
      <c r="L206" s="81">
        <v>94</v>
      </c>
      <c r="M206" s="84">
        <v>-0.5306</v>
      </c>
      <c r="N206" s="81">
        <v>2.76</v>
      </c>
      <c r="O206" s="84">
        <v>0.0624</v>
      </c>
    </row>
    <row r="207" spans="9:15">
      <c r="I207" s="79">
        <v>17</v>
      </c>
      <c r="J207" s="80" t="s">
        <v>370</v>
      </c>
      <c r="K207" s="79" t="s">
        <v>535</v>
      </c>
      <c r="L207" s="79">
        <v>86</v>
      </c>
      <c r="M207" s="83">
        <v>-0.1831</v>
      </c>
      <c r="N207" s="79">
        <v>2.66</v>
      </c>
      <c r="O207" s="83">
        <v>0.0287</v>
      </c>
    </row>
    <row r="208" spans="9:15">
      <c r="I208" s="79">
        <v>5</v>
      </c>
      <c r="J208" s="80" t="s">
        <v>334</v>
      </c>
      <c r="K208" s="79" t="s">
        <v>532</v>
      </c>
      <c r="L208" s="79">
        <v>280</v>
      </c>
      <c r="M208" s="83">
        <v>-0.0513</v>
      </c>
      <c r="N208" s="79">
        <v>11.83</v>
      </c>
      <c r="O208" s="83">
        <v>0.0522</v>
      </c>
    </row>
    <row r="209" spans="9:15">
      <c r="I209" s="81">
        <v>6</v>
      </c>
      <c r="J209" s="82" t="s">
        <v>334</v>
      </c>
      <c r="K209" s="81" t="s">
        <v>538</v>
      </c>
      <c r="L209" s="81">
        <v>277</v>
      </c>
      <c r="M209" s="84">
        <v>-0.2784</v>
      </c>
      <c r="N209" s="81">
        <v>12.14</v>
      </c>
      <c r="O209" s="84">
        <v>0.0506</v>
      </c>
    </row>
    <row r="210" spans="9:15">
      <c r="I210" s="79">
        <v>7</v>
      </c>
      <c r="J210" s="80" t="s">
        <v>334</v>
      </c>
      <c r="K210" s="79" t="s">
        <v>536</v>
      </c>
      <c r="L210" s="79">
        <v>254</v>
      </c>
      <c r="M210" s="83">
        <v>-0.3336</v>
      </c>
      <c r="N210" s="79">
        <v>13.04</v>
      </c>
      <c r="O210" s="83">
        <v>0.0421</v>
      </c>
    </row>
    <row r="211" spans="9:15">
      <c r="I211" s="81">
        <v>2</v>
      </c>
      <c r="J211" s="82" t="s">
        <v>417</v>
      </c>
      <c r="K211" s="81" t="s">
        <v>528</v>
      </c>
      <c r="L211" s="81">
        <v>55</v>
      </c>
      <c r="M211" s="84">
        <v>-0.3616</v>
      </c>
      <c r="N211" s="81">
        <v>11.26</v>
      </c>
      <c r="O211" s="84">
        <v>0.0367</v>
      </c>
    </row>
    <row r="212" spans="9:15">
      <c r="I212" s="81">
        <v>14</v>
      </c>
      <c r="J212" s="82" t="s">
        <v>382</v>
      </c>
      <c r="K212" s="81" t="s">
        <v>530</v>
      </c>
      <c r="L212" s="81">
        <v>75</v>
      </c>
      <c r="M212" s="84">
        <v>-0.5011</v>
      </c>
      <c r="N212" s="81">
        <v>1.67</v>
      </c>
      <c r="O212" s="84">
        <v>0.0745</v>
      </c>
    </row>
    <row r="213" spans="9:15">
      <c r="I213" s="79">
        <v>9</v>
      </c>
      <c r="J213" s="80" t="s">
        <v>392</v>
      </c>
      <c r="K213" s="79" t="s">
        <v>524</v>
      </c>
      <c r="L213" s="79">
        <v>64</v>
      </c>
      <c r="M213" s="83">
        <v>0.2701</v>
      </c>
      <c r="N213" s="79">
        <v>2.68</v>
      </c>
      <c r="O213" s="83">
        <v>0.0216</v>
      </c>
    </row>
    <row r="214" spans="9:15">
      <c r="I214" s="79">
        <v>11</v>
      </c>
      <c r="J214" s="80" t="s">
        <v>334</v>
      </c>
      <c r="K214" s="79" t="s">
        <v>537</v>
      </c>
      <c r="L214" s="79">
        <v>212</v>
      </c>
      <c r="M214" s="83">
        <v>0.0806</v>
      </c>
      <c r="N214" s="79">
        <v>10.26</v>
      </c>
      <c r="O214" s="83">
        <v>0.0405</v>
      </c>
    </row>
    <row r="215" spans="9:15">
      <c r="I215" s="81">
        <v>12</v>
      </c>
      <c r="J215" s="82" t="s">
        <v>334</v>
      </c>
      <c r="K215" s="81" t="s">
        <v>543</v>
      </c>
      <c r="L215" s="81">
        <v>212</v>
      </c>
      <c r="M215" s="84">
        <v>0.2896</v>
      </c>
      <c r="N215" s="81">
        <v>12.48</v>
      </c>
      <c r="O215" s="84">
        <v>0.036</v>
      </c>
    </row>
    <row r="216" spans="9:15">
      <c r="I216" s="79">
        <v>13</v>
      </c>
      <c r="J216" s="80" t="s">
        <v>334</v>
      </c>
      <c r="K216" s="79" t="s">
        <v>545</v>
      </c>
      <c r="L216" s="79">
        <v>189</v>
      </c>
      <c r="M216" s="83">
        <v>0.3583</v>
      </c>
      <c r="N216" s="79">
        <v>6.39</v>
      </c>
      <c r="O216" s="83">
        <v>0.0527</v>
      </c>
    </row>
    <row r="217" spans="9:15">
      <c r="I217" s="81">
        <v>6</v>
      </c>
      <c r="J217" s="82" t="s">
        <v>392</v>
      </c>
      <c r="K217" s="81" t="s">
        <v>529</v>
      </c>
      <c r="L217" s="81">
        <v>80</v>
      </c>
      <c r="M217" s="84">
        <v>-0.492</v>
      </c>
      <c r="N217" s="81">
        <v>1.12</v>
      </c>
      <c r="O217" s="84">
        <v>0.0666</v>
      </c>
    </row>
    <row r="218" spans="9:15">
      <c r="I218" s="79">
        <v>15</v>
      </c>
      <c r="J218" s="80" t="s">
        <v>334</v>
      </c>
      <c r="K218" s="79" t="s">
        <v>534</v>
      </c>
      <c r="L218" s="79">
        <v>181</v>
      </c>
      <c r="M218" s="83">
        <v>0.8498</v>
      </c>
      <c r="N218" s="79">
        <v>7.44</v>
      </c>
      <c r="O218" s="83">
        <v>0.0408</v>
      </c>
    </row>
    <row r="219" spans="9:15">
      <c r="I219" s="81">
        <v>16</v>
      </c>
      <c r="J219" s="82" t="s">
        <v>334</v>
      </c>
      <c r="K219" s="81" t="s">
        <v>541</v>
      </c>
      <c r="L219" s="81">
        <v>178</v>
      </c>
      <c r="M219" s="84">
        <v>-0.1554</v>
      </c>
      <c r="N219" s="81">
        <v>6.25</v>
      </c>
      <c r="O219" s="84">
        <v>0.0532</v>
      </c>
    </row>
    <row r="220" spans="9:15">
      <c r="I220" s="79">
        <v>17</v>
      </c>
      <c r="J220" s="80" t="s">
        <v>334</v>
      </c>
      <c r="K220" s="79" t="s">
        <v>547</v>
      </c>
      <c r="L220" s="79">
        <v>171</v>
      </c>
      <c r="M220" s="83">
        <v>0.4921</v>
      </c>
      <c r="N220" s="79">
        <v>4.37</v>
      </c>
      <c r="O220" s="83">
        <v>0.0711</v>
      </c>
    </row>
    <row r="221" spans="9:15">
      <c r="I221" s="81">
        <v>18</v>
      </c>
      <c r="J221" s="82" t="s">
        <v>334</v>
      </c>
      <c r="K221" s="81" t="s">
        <v>553</v>
      </c>
      <c r="L221" s="81">
        <v>168</v>
      </c>
      <c r="M221" s="84">
        <v>-0.3093</v>
      </c>
      <c r="N221" s="81">
        <v>3.76</v>
      </c>
      <c r="O221" s="84">
        <v>0.0796</v>
      </c>
    </row>
    <row r="222" spans="9:15">
      <c r="I222" s="79">
        <v>19</v>
      </c>
      <c r="J222" s="80" t="s">
        <v>334</v>
      </c>
      <c r="K222" s="79" t="s">
        <v>546</v>
      </c>
      <c r="L222" s="79">
        <v>162</v>
      </c>
      <c r="M222" s="83">
        <v>-0.5223</v>
      </c>
      <c r="N222" s="79">
        <v>5.45</v>
      </c>
      <c r="O222" s="83">
        <v>0.0489</v>
      </c>
    </row>
    <row r="223" spans="9:15">
      <c r="I223" s="81">
        <v>20</v>
      </c>
      <c r="J223" s="82" t="s">
        <v>334</v>
      </c>
      <c r="K223" s="81" t="s">
        <v>556</v>
      </c>
      <c r="L223" s="81">
        <v>149</v>
      </c>
      <c r="M223" s="84">
        <v>0.8782</v>
      </c>
      <c r="N223" s="81">
        <v>4.22</v>
      </c>
      <c r="O223" s="84">
        <v>0.0549</v>
      </c>
    </row>
    <row r="224" spans="9:15">
      <c r="I224" s="79">
        <v>1</v>
      </c>
      <c r="J224" s="80" t="s">
        <v>568</v>
      </c>
      <c r="K224" s="79" t="s">
        <v>522</v>
      </c>
      <c r="L224" s="79">
        <v>129</v>
      </c>
      <c r="M224" s="83">
        <v>-0.1199</v>
      </c>
      <c r="N224" s="79">
        <v>11.05</v>
      </c>
      <c r="O224" s="83">
        <v>0.0696</v>
      </c>
    </row>
    <row r="225" spans="9:15">
      <c r="I225" s="79">
        <v>13</v>
      </c>
      <c r="J225" s="80" t="s">
        <v>382</v>
      </c>
      <c r="K225" s="79" t="s">
        <v>535</v>
      </c>
      <c r="L225" s="79">
        <v>80</v>
      </c>
      <c r="M225" s="83">
        <v>-0.4114</v>
      </c>
      <c r="N225" s="79">
        <v>3.66</v>
      </c>
      <c r="O225" s="83">
        <v>0.0507</v>
      </c>
    </row>
    <row r="226" spans="9:15">
      <c r="I226" s="79">
        <v>5</v>
      </c>
      <c r="J226" s="80" t="s">
        <v>557</v>
      </c>
      <c r="K226" s="79" t="s">
        <v>523</v>
      </c>
      <c r="L226" s="79">
        <v>36</v>
      </c>
      <c r="M226" s="83">
        <v>-0.4373</v>
      </c>
      <c r="N226" s="79">
        <v>13.78</v>
      </c>
      <c r="O226" s="83">
        <v>0.0143</v>
      </c>
    </row>
    <row r="227" spans="9:15">
      <c r="I227" s="79">
        <v>3</v>
      </c>
      <c r="J227" s="80" t="s">
        <v>557</v>
      </c>
      <c r="K227" s="79" t="s">
        <v>528</v>
      </c>
      <c r="L227" s="79">
        <v>49</v>
      </c>
      <c r="M227" s="83">
        <v>-0.3246</v>
      </c>
      <c r="N227" s="79">
        <v>15.77</v>
      </c>
      <c r="O227" s="83">
        <v>0.0204</v>
      </c>
    </row>
    <row r="228" spans="9:15">
      <c r="I228" s="79">
        <v>5</v>
      </c>
      <c r="J228" s="79" t="s">
        <v>525</v>
      </c>
      <c r="K228" s="79" t="s">
        <v>530</v>
      </c>
      <c r="L228" s="79">
        <v>67</v>
      </c>
      <c r="M228" s="83">
        <v>-0.4032</v>
      </c>
      <c r="N228" s="79">
        <v>1.24</v>
      </c>
      <c r="O228" s="83">
        <v>0.0764</v>
      </c>
    </row>
    <row r="229" spans="9:15">
      <c r="I229" s="79">
        <v>9</v>
      </c>
      <c r="J229" s="79" t="s">
        <v>525</v>
      </c>
      <c r="K229" s="79" t="s">
        <v>524</v>
      </c>
      <c r="L229" s="79">
        <v>38</v>
      </c>
      <c r="M229" s="83">
        <v>-0.3347</v>
      </c>
      <c r="N229" s="79">
        <v>0.93</v>
      </c>
      <c r="O229" s="83">
        <v>0.0441</v>
      </c>
    </row>
    <row r="230" spans="9:15">
      <c r="I230" s="79">
        <v>7</v>
      </c>
      <c r="J230" s="80" t="s">
        <v>349</v>
      </c>
      <c r="K230" s="79" t="s">
        <v>541</v>
      </c>
      <c r="L230" s="79">
        <v>135</v>
      </c>
      <c r="M230" s="83">
        <v>-0.184</v>
      </c>
      <c r="N230" s="79">
        <v>1.87</v>
      </c>
      <c r="O230" s="83">
        <v>0.0638</v>
      </c>
    </row>
    <row r="231" spans="9:15">
      <c r="I231" s="81">
        <v>10</v>
      </c>
      <c r="J231" s="82" t="s">
        <v>392</v>
      </c>
      <c r="K231" s="81" t="s">
        <v>527</v>
      </c>
      <c r="L231" s="81">
        <v>62</v>
      </c>
      <c r="M231" s="84">
        <v>-0.4047</v>
      </c>
      <c r="N231" s="81">
        <v>1.03</v>
      </c>
      <c r="O231" s="84">
        <v>0.067</v>
      </c>
    </row>
    <row r="232" spans="9:15">
      <c r="I232" s="79">
        <v>9</v>
      </c>
      <c r="J232" s="80" t="s">
        <v>349</v>
      </c>
      <c r="K232" s="79" t="s">
        <v>547</v>
      </c>
      <c r="L232" s="79">
        <v>132</v>
      </c>
      <c r="M232" s="83">
        <v>1.8305</v>
      </c>
      <c r="N232" s="79">
        <v>1.2</v>
      </c>
      <c r="O232" s="83">
        <v>0.0959</v>
      </c>
    </row>
    <row r="233" spans="9:15">
      <c r="I233" s="79">
        <v>13</v>
      </c>
      <c r="J233" s="80" t="s">
        <v>373</v>
      </c>
      <c r="K233" s="79" t="s">
        <v>535</v>
      </c>
      <c r="L233" s="79">
        <v>73</v>
      </c>
      <c r="M233" s="83">
        <v>-0.0189</v>
      </c>
      <c r="N233" s="79">
        <v>1.07</v>
      </c>
      <c r="O233" s="83">
        <v>0.0409</v>
      </c>
    </row>
    <row r="234" spans="9:15">
      <c r="I234" s="79">
        <v>11</v>
      </c>
      <c r="J234" s="80" t="s">
        <v>349</v>
      </c>
      <c r="K234" s="79" t="s">
        <v>538</v>
      </c>
      <c r="L234" s="79">
        <v>131</v>
      </c>
      <c r="M234" s="83">
        <v>0.2503</v>
      </c>
      <c r="N234" s="79">
        <v>2.55</v>
      </c>
      <c r="O234" s="83">
        <v>0.0426</v>
      </c>
    </row>
    <row r="235" spans="9:15">
      <c r="I235" s="81">
        <v>12</v>
      </c>
      <c r="J235" s="82" t="s">
        <v>349</v>
      </c>
      <c r="K235" s="81" t="s">
        <v>537</v>
      </c>
      <c r="L235" s="81">
        <v>120</v>
      </c>
      <c r="M235" s="84">
        <v>0.2967</v>
      </c>
      <c r="N235" s="81">
        <v>1.94</v>
      </c>
      <c r="O235" s="84">
        <v>0.0431</v>
      </c>
    </row>
    <row r="236" spans="9:15">
      <c r="I236" s="79">
        <v>13</v>
      </c>
      <c r="J236" s="80" t="s">
        <v>349</v>
      </c>
      <c r="K236" s="79" t="s">
        <v>532</v>
      </c>
      <c r="L236" s="79">
        <v>118</v>
      </c>
      <c r="M236" s="83">
        <v>0.3456</v>
      </c>
      <c r="N236" s="79">
        <v>1.77</v>
      </c>
      <c r="O236" s="83">
        <v>0.0557</v>
      </c>
    </row>
    <row r="237" spans="9:15">
      <c r="I237" s="81">
        <v>14</v>
      </c>
      <c r="J237" s="82" t="s">
        <v>349</v>
      </c>
      <c r="K237" s="81" t="s">
        <v>536</v>
      </c>
      <c r="L237" s="81">
        <v>117</v>
      </c>
      <c r="M237" s="84">
        <v>0.7259</v>
      </c>
      <c r="N237" s="81">
        <v>1.85</v>
      </c>
      <c r="O237" s="84">
        <v>0.0493</v>
      </c>
    </row>
    <row r="238" spans="9:15">
      <c r="I238" s="79">
        <v>15</v>
      </c>
      <c r="J238" s="80" t="s">
        <v>349</v>
      </c>
      <c r="K238" s="79" t="s">
        <v>534</v>
      </c>
      <c r="L238" s="79">
        <v>116</v>
      </c>
      <c r="M238" s="83">
        <v>0.527</v>
      </c>
      <c r="N238" s="79">
        <v>1.83</v>
      </c>
      <c r="O238" s="83">
        <v>0.0545</v>
      </c>
    </row>
    <row r="239" spans="9:15">
      <c r="I239" s="81">
        <v>16</v>
      </c>
      <c r="J239" s="82" t="s">
        <v>349</v>
      </c>
      <c r="K239" s="81" t="s">
        <v>544</v>
      </c>
      <c r="L239" s="81">
        <v>97</v>
      </c>
      <c r="M239" s="84">
        <v>-0.1467</v>
      </c>
      <c r="N239" s="81">
        <v>0.94</v>
      </c>
      <c r="O239" s="84">
        <v>0.0594</v>
      </c>
    </row>
    <row r="240" spans="9:15">
      <c r="I240" s="79">
        <v>17</v>
      </c>
      <c r="J240" s="80" t="s">
        <v>349</v>
      </c>
      <c r="K240" s="79" t="s">
        <v>552</v>
      </c>
      <c r="L240" s="79">
        <v>93</v>
      </c>
      <c r="M240" s="83">
        <v>0.4619</v>
      </c>
      <c r="N240" s="79">
        <v>0.92</v>
      </c>
      <c r="O240" s="83">
        <v>0.0804</v>
      </c>
    </row>
    <row r="241" spans="9:15">
      <c r="I241" s="81">
        <v>18</v>
      </c>
      <c r="J241" s="82" t="s">
        <v>349</v>
      </c>
      <c r="K241" s="81" t="s">
        <v>545</v>
      </c>
      <c r="L241" s="81">
        <v>92</v>
      </c>
      <c r="M241" s="84">
        <v>-0.0364</v>
      </c>
      <c r="N241" s="81">
        <v>1.08</v>
      </c>
      <c r="O241" s="84">
        <v>0.0668</v>
      </c>
    </row>
    <row r="242" spans="9:15">
      <c r="I242" s="79">
        <v>19</v>
      </c>
      <c r="J242" s="80" t="s">
        <v>349</v>
      </c>
      <c r="K242" s="79" t="s">
        <v>553</v>
      </c>
      <c r="L242" s="79">
        <v>84</v>
      </c>
      <c r="M242" s="83">
        <v>0.8309</v>
      </c>
      <c r="N242" s="79">
        <v>0.59</v>
      </c>
      <c r="O242" s="83">
        <v>0.0882</v>
      </c>
    </row>
    <row r="243" spans="9:15">
      <c r="I243" s="81">
        <v>20</v>
      </c>
      <c r="J243" s="82" t="s">
        <v>349</v>
      </c>
      <c r="K243" s="81" t="s">
        <v>542</v>
      </c>
      <c r="L243" s="81">
        <v>82</v>
      </c>
      <c r="M243" s="84">
        <v>1.0203</v>
      </c>
      <c r="N243" s="81">
        <v>1.31</v>
      </c>
      <c r="O243" s="84">
        <v>0.0397</v>
      </c>
    </row>
    <row r="244" spans="9:15">
      <c r="I244" s="79">
        <v>1</v>
      </c>
      <c r="J244" s="80" t="s">
        <v>557</v>
      </c>
      <c r="K244" s="79" t="s">
        <v>522</v>
      </c>
      <c r="L244" s="79">
        <v>118</v>
      </c>
      <c r="M244" s="83">
        <v>-0.474</v>
      </c>
      <c r="N244" s="79">
        <v>75.09</v>
      </c>
      <c r="O244" s="83">
        <v>0.0156</v>
      </c>
    </row>
    <row r="245" spans="9:15">
      <c r="I245" s="81">
        <v>2</v>
      </c>
      <c r="J245" s="82" t="s">
        <v>352</v>
      </c>
      <c r="K245" s="81" t="s">
        <v>543</v>
      </c>
      <c r="L245" s="81">
        <v>312</v>
      </c>
      <c r="M245" s="84">
        <v>1.5888</v>
      </c>
      <c r="N245" s="81">
        <v>26.92</v>
      </c>
      <c r="O245" s="84">
        <v>0.036</v>
      </c>
    </row>
    <row r="246" spans="9:15">
      <c r="I246" s="81">
        <v>4</v>
      </c>
      <c r="J246" s="82" t="s">
        <v>417</v>
      </c>
      <c r="K246" s="81" t="s">
        <v>524</v>
      </c>
      <c r="L246" s="81">
        <v>36</v>
      </c>
      <c r="M246" s="84">
        <v>-0.1858</v>
      </c>
      <c r="N246" s="81">
        <v>6.75</v>
      </c>
      <c r="O246" s="84">
        <v>0.0314</v>
      </c>
    </row>
    <row r="247" spans="9:15">
      <c r="I247" s="79">
        <v>17</v>
      </c>
      <c r="J247" s="80" t="s">
        <v>568</v>
      </c>
      <c r="K247" s="79" t="s">
        <v>527</v>
      </c>
      <c r="L247" s="79">
        <v>26</v>
      </c>
      <c r="M247" s="83">
        <v>-0.6643</v>
      </c>
      <c r="N247" s="79">
        <v>1.7</v>
      </c>
      <c r="O247" s="83">
        <v>0.0449</v>
      </c>
    </row>
    <row r="248" spans="9:15">
      <c r="I248" s="79">
        <v>5</v>
      </c>
      <c r="J248" s="80" t="s">
        <v>352</v>
      </c>
      <c r="K248" s="79" t="s">
        <v>534</v>
      </c>
      <c r="L248" s="79">
        <v>286</v>
      </c>
      <c r="M248" s="83">
        <v>-0.4752</v>
      </c>
      <c r="N248" s="79">
        <v>12.7</v>
      </c>
      <c r="O248" s="83">
        <v>0.0526</v>
      </c>
    </row>
    <row r="249" spans="9:15">
      <c r="I249" s="81">
        <v>6</v>
      </c>
      <c r="J249" s="82" t="s">
        <v>352</v>
      </c>
      <c r="K249" s="81" t="s">
        <v>569</v>
      </c>
      <c r="L249" s="81">
        <v>284</v>
      </c>
      <c r="M249" s="84">
        <v>0.2741</v>
      </c>
      <c r="N249" s="81">
        <v>10.54</v>
      </c>
      <c r="O249" s="84">
        <v>0.0662</v>
      </c>
    </row>
    <row r="250" spans="9:15">
      <c r="I250" s="79">
        <v>7</v>
      </c>
      <c r="J250" s="80" t="s">
        <v>352</v>
      </c>
      <c r="K250" s="79" t="s">
        <v>556</v>
      </c>
      <c r="L250" s="79">
        <v>264</v>
      </c>
      <c r="M250" s="83">
        <v>0.0799</v>
      </c>
      <c r="N250" s="79">
        <v>12.44</v>
      </c>
      <c r="O250" s="83">
        <v>0.0514</v>
      </c>
    </row>
    <row r="251" spans="9:15">
      <c r="I251" s="81">
        <v>8</v>
      </c>
      <c r="J251" s="82" t="s">
        <v>352</v>
      </c>
      <c r="K251" s="81" t="s">
        <v>549</v>
      </c>
      <c r="L251" s="81">
        <v>217</v>
      </c>
      <c r="M251" s="84">
        <v>-0.2354</v>
      </c>
      <c r="N251" s="81">
        <v>11.06</v>
      </c>
      <c r="O251" s="84">
        <v>0.0418</v>
      </c>
    </row>
    <row r="252" spans="9:15">
      <c r="I252" s="81">
        <v>20</v>
      </c>
      <c r="J252" s="82" t="s">
        <v>370</v>
      </c>
      <c r="K252" s="81" t="s">
        <v>529</v>
      </c>
      <c r="L252" s="81">
        <v>71</v>
      </c>
      <c r="M252" s="84">
        <v>-0.4759</v>
      </c>
      <c r="N252" s="81">
        <v>1</v>
      </c>
      <c r="O252" s="84">
        <v>0.0459</v>
      </c>
    </row>
    <row r="253" spans="9:15">
      <c r="I253" s="81">
        <v>10</v>
      </c>
      <c r="J253" s="82" t="s">
        <v>352</v>
      </c>
      <c r="K253" s="81" t="s">
        <v>546</v>
      </c>
      <c r="L253" s="81">
        <v>207</v>
      </c>
      <c r="M253" s="84">
        <v>-0.0037</v>
      </c>
      <c r="N253" s="81">
        <v>8.13</v>
      </c>
      <c r="O253" s="84">
        <v>0.0555</v>
      </c>
    </row>
    <row r="254" spans="9:15">
      <c r="I254" s="79">
        <v>13</v>
      </c>
      <c r="J254" s="80" t="s">
        <v>560</v>
      </c>
      <c r="K254" s="79" t="s">
        <v>529</v>
      </c>
      <c r="L254" s="79">
        <v>68</v>
      </c>
      <c r="M254" s="83">
        <v>-0.4042</v>
      </c>
      <c r="N254" s="79">
        <v>2.36</v>
      </c>
      <c r="O254" s="83">
        <v>0.0356</v>
      </c>
    </row>
    <row r="255" spans="9:15">
      <c r="I255" s="81">
        <v>12</v>
      </c>
      <c r="J255" s="82" t="s">
        <v>352</v>
      </c>
      <c r="K255" s="81" t="s">
        <v>570</v>
      </c>
      <c r="L255" s="81">
        <v>190</v>
      </c>
      <c r="M255" s="84">
        <v>0.3856</v>
      </c>
      <c r="N255" s="81">
        <v>11.97</v>
      </c>
      <c r="O255" s="84">
        <v>0.0306</v>
      </c>
    </row>
    <row r="256" spans="9:15">
      <c r="I256" s="79">
        <v>13</v>
      </c>
      <c r="J256" s="80" t="s">
        <v>352</v>
      </c>
      <c r="K256" s="79" t="s">
        <v>545</v>
      </c>
      <c r="L256" s="79">
        <v>185</v>
      </c>
      <c r="M256" s="83">
        <v>-0.2041</v>
      </c>
      <c r="N256" s="79">
        <v>8.17</v>
      </c>
      <c r="O256" s="83">
        <v>0.0485</v>
      </c>
    </row>
    <row r="257" spans="9:15">
      <c r="I257" s="81">
        <v>14</v>
      </c>
      <c r="J257" s="82" t="s">
        <v>352</v>
      </c>
      <c r="K257" s="81" t="s">
        <v>555</v>
      </c>
      <c r="L257" s="81">
        <v>169</v>
      </c>
      <c r="M257" s="84">
        <v>0.6651</v>
      </c>
      <c r="N257" s="81">
        <v>4.6</v>
      </c>
      <c r="O257" s="84">
        <v>0.0747</v>
      </c>
    </row>
    <row r="258" spans="9:15">
      <c r="I258" s="79">
        <v>15</v>
      </c>
      <c r="J258" s="80" t="s">
        <v>352</v>
      </c>
      <c r="K258" s="79" t="s">
        <v>533</v>
      </c>
      <c r="L258" s="79">
        <v>164</v>
      </c>
      <c r="M258" s="83">
        <v>-0.2327</v>
      </c>
      <c r="N258" s="79">
        <v>5.47</v>
      </c>
      <c r="O258" s="83">
        <v>0.0575</v>
      </c>
    </row>
    <row r="259" spans="9:15">
      <c r="I259" s="81">
        <v>10</v>
      </c>
      <c r="J259" s="82" t="s">
        <v>568</v>
      </c>
      <c r="K259" s="81" t="s">
        <v>523</v>
      </c>
      <c r="L259" s="81">
        <v>31</v>
      </c>
      <c r="M259" s="84">
        <v>-0.5547</v>
      </c>
      <c r="N259" s="81">
        <v>2.33</v>
      </c>
      <c r="O259" s="84">
        <v>0.0359</v>
      </c>
    </row>
    <row r="260" spans="9:15">
      <c r="I260" s="79">
        <v>17</v>
      </c>
      <c r="J260" s="80" t="s">
        <v>352</v>
      </c>
      <c r="K260" s="79" t="s">
        <v>541</v>
      </c>
      <c r="L260" s="79">
        <v>146</v>
      </c>
      <c r="M260" s="83">
        <v>-0.342</v>
      </c>
      <c r="N260" s="79">
        <v>5.87</v>
      </c>
      <c r="O260" s="83">
        <v>0.0504</v>
      </c>
    </row>
    <row r="261" spans="9:15">
      <c r="I261" s="81">
        <v>18</v>
      </c>
      <c r="J261" s="82" t="s">
        <v>352</v>
      </c>
      <c r="K261" s="81" t="s">
        <v>571</v>
      </c>
      <c r="L261" s="81">
        <v>145</v>
      </c>
      <c r="M261" s="84">
        <v>-0.3316</v>
      </c>
      <c r="N261" s="81">
        <v>3.16</v>
      </c>
      <c r="O261" s="84">
        <v>0.0761</v>
      </c>
    </row>
    <row r="262" spans="9:15">
      <c r="I262" s="79">
        <v>19</v>
      </c>
      <c r="J262" s="80" t="s">
        <v>352</v>
      </c>
      <c r="K262" s="79" t="s">
        <v>547</v>
      </c>
      <c r="L262" s="79">
        <v>143</v>
      </c>
      <c r="M262" s="83">
        <v>0.1278</v>
      </c>
      <c r="N262" s="79">
        <v>3.94</v>
      </c>
      <c r="O262" s="83">
        <v>0.0697</v>
      </c>
    </row>
    <row r="263" spans="9:15">
      <c r="I263" s="81">
        <v>20</v>
      </c>
      <c r="J263" s="82" t="s">
        <v>352</v>
      </c>
      <c r="K263" s="81" t="s">
        <v>562</v>
      </c>
      <c r="L263" s="81">
        <v>135</v>
      </c>
      <c r="M263" s="84">
        <v>-0.1883</v>
      </c>
      <c r="N263" s="81">
        <v>3.16</v>
      </c>
      <c r="O263" s="84">
        <v>0.0739</v>
      </c>
    </row>
    <row r="264" spans="9:15">
      <c r="I264" s="79">
        <v>1</v>
      </c>
      <c r="J264" s="80" t="s">
        <v>417</v>
      </c>
      <c r="K264" s="79" t="s">
        <v>522</v>
      </c>
      <c r="L264" s="79">
        <v>117</v>
      </c>
      <c r="M264" s="83">
        <v>-0.487</v>
      </c>
      <c r="N264" s="79">
        <v>59.2</v>
      </c>
      <c r="O264" s="83">
        <v>0.0214</v>
      </c>
    </row>
    <row r="265" spans="9:15">
      <c r="I265" s="81">
        <v>12</v>
      </c>
      <c r="J265" s="82" t="s">
        <v>417</v>
      </c>
      <c r="K265" s="81" t="s">
        <v>527</v>
      </c>
      <c r="L265" s="81">
        <v>21</v>
      </c>
      <c r="M265" s="84">
        <v>-0.4574</v>
      </c>
      <c r="N265" s="81">
        <v>7.59</v>
      </c>
      <c r="O265" s="84">
        <v>0.014</v>
      </c>
    </row>
    <row r="266" spans="9:15">
      <c r="I266" s="79">
        <v>9</v>
      </c>
      <c r="J266" s="80" t="s">
        <v>568</v>
      </c>
      <c r="K266" s="79" t="s">
        <v>524</v>
      </c>
      <c r="L266" s="79">
        <v>31</v>
      </c>
      <c r="M266" s="83">
        <v>-0.3511</v>
      </c>
      <c r="N266" s="79">
        <v>3.69</v>
      </c>
      <c r="O266" s="83">
        <v>0.0223</v>
      </c>
    </row>
    <row r="267" spans="9:15">
      <c r="I267" s="79">
        <v>7</v>
      </c>
      <c r="J267" s="79" t="s">
        <v>525</v>
      </c>
      <c r="K267" s="79" t="s">
        <v>535</v>
      </c>
      <c r="L267" s="79">
        <v>44</v>
      </c>
      <c r="M267" s="83">
        <v>-0.1156</v>
      </c>
      <c r="N267" s="79">
        <v>1.06</v>
      </c>
      <c r="O267" s="83">
        <v>0.0599</v>
      </c>
    </row>
    <row r="268" spans="9:15">
      <c r="I268" s="81">
        <v>2</v>
      </c>
      <c r="J268" s="82" t="s">
        <v>433</v>
      </c>
      <c r="K268" s="81" t="s">
        <v>528</v>
      </c>
      <c r="L268" s="81">
        <v>39</v>
      </c>
      <c r="M268" s="84">
        <v>-0.4955</v>
      </c>
      <c r="N268" s="81">
        <v>2.2</v>
      </c>
      <c r="O268" s="84">
        <v>0.039</v>
      </c>
    </row>
    <row r="269" spans="9:15">
      <c r="I269" s="81">
        <v>8</v>
      </c>
      <c r="J269" s="82" t="s">
        <v>417</v>
      </c>
      <c r="K269" s="81" t="s">
        <v>523</v>
      </c>
      <c r="L269" s="81">
        <v>26</v>
      </c>
      <c r="M269" s="84">
        <v>-0.4678</v>
      </c>
      <c r="N269" s="81">
        <v>7.75</v>
      </c>
      <c r="O269" s="84">
        <v>0.0164</v>
      </c>
    </row>
    <row r="270" spans="9:15">
      <c r="I270" s="79">
        <v>7</v>
      </c>
      <c r="J270" s="80" t="s">
        <v>382</v>
      </c>
      <c r="K270" s="79" t="s">
        <v>541</v>
      </c>
      <c r="L270" s="79">
        <v>94</v>
      </c>
      <c r="M270" s="83">
        <v>-0.4271</v>
      </c>
      <c r="N270" s="79">
        <v>2.79</v>
      </c>
      <c r="O270" s="83">
        <v>0.0757</v>
      </c>
    </row>
    <row r="271" spans="9:15">
      <c r="I271" s="81">
        <v>8</v>
      </c>
      <c r="J271" s="82" t="s">
        <v>382</v>
      </c>
      <c r="K271" s="81" t="s">
        <v>572</v>
      </c>
      <c r="L271" s="81">
        <v>94</v>
      </c>
      <c r="M271" s="84">
        <v>0.3015</v>
      </c>
      <c r="N271" s="81">
        <v>1.37</v>
      </c>
      <c r="O271" s="84">
        <v>0.1379</v>
      </c>
    </row>
    <row r="272" spans="9:15">
      <c r="I272" s="79">
        <v>9</v>
      </c>
      <c r="J272" s="80" t="s">
        <v>382</v>
      </c>
      <c r="K272" s="79" t="s">
        <v>546</v>
      </c>
      <c r="L272" s="79">
        <v>90</v>
      </c>
      <c r="M272" s="83">
        <v>-0.403</v>
      </c>
      <c r="N272" s="79">
        <v>3</v>
      </c>
      <c r="O272" s="83">
        <v>0.0628</v>
      </c>
    </row>
    <row r="273" spans="9:15">
      <c r="I273" s="81">
        <v>10</v>
      </c>
      <c r="J273" s="82" t="s">
        <v>382</v>
      </c>
      <c r="K273" s="81" t="s">
        <v>571</v>
      </c>
      <c r="L273" s="81">
        <v>89</v>
      </c>
      <c r="M273" s="84">
        <v>-0.1199</v>
      </c>
      <c r="N273" s="81">
        <v>1.7</v>
      </c>
      <c r="O273" s="84">
        <v>0.1051</v>
      </c>
    </row>
    <row r="274" spans="9:15">
      <c r="I274" s="79">
        <v>11</v>
      </c>
      <c r="J274" s="80" t="s">
        <v>382</v>
      </c>
      <c r="K274" s="79" t="s">
        <v>573</v>
      </c>
      <c r="L274" s="79">
        <v>86</v>
      </c>
      <c r="M274" s="85">
        <v>0.18</v>
      </c>
      <c r="N274" s="79">
        <v>1.28</v>
      </c>
      <c r="O274" s="83">
        <v>0.1385</v>
      </c>
    </row>
    <row r="275" spans="9:15">
      <c r="I275" s="81">
        <v>12</v>
      </c>
      <c r="J275" s="82" t="s">
        <v>382</v>
      </c>
      <c r="K275" s="81" t="s">
        <v>567</v>
      </c>
      <c r="L275" s="81">
        <v>85</v>
      </c>
      <c r="M275" s="84">
        <v>0.4454</v>
      </c>
      <c r="N275" s="81">
        <v>1.1</v>
      </c>
      <c r="O275" s="84">
        <v>0.1452</v>
      </c>
    </row>
    <row r="276" spans="9:15">
      <c r="I276" s="81">
        <v>4</v>
      </c>
      <c r="J276" s="82" t="s">
        <v>568</v>
      </c>
      <c r="K276" s="81" t="s">
        <v>529</v>
      </c>
      <c r="L276" s="81">
        <v>35</v>
      </c>
      <c r="M276" s="84">
        <v>-0.6324</v>
      </c>
      <c r="N276" s="81">
        <v>2.1</v>
      </c>
      <c r="O276" s="84">
        <v>0.0571</v>
      </c>
    </row>
    <row r="277" spans="9:15">
      <c r="I277" s="79">
        <v>3</v>
      </c>
      <c r="J277" s="80" t="s">
        <v>417</v>
      </c>
      <c r="K277" s="79" t="s">
        <v>530</v>
      </c>
      <c r="L277" s="79">
        <v>55</v>
      </c>
      <c r="M277" s="83">
        <v>-0.0861</v>
      </c>
      <c r="N277" s="79">
        <v>15.48</v>
      </c>
      <c r="O277" s="83">
        <v>0.0255</v>
      </c>
    </row>
    <row r="278" spans="9:15">
      <c r="I278" s="79">
        <v>15</v>
      </c>
      <c r="J278" s="80" t="s">
        <v>382</v>
      </c>
      <c r="K278" s="79" t="s">
        <v>532</v>
      </c>
      <c r="L278" s="79">
        <v>74</v>
      </c>
      <c r="M278" s="83">
        <v>-0.6343</v>
      </c>
      <c r="N278" s="79">
        <v>3.11</v>
      </c>
      <c r="O278" s="83">
        <v>0.0462</v>
      </c>
    </row>
    <row r="279" spans="9:15">
      <c r="I279" s="81">
        <v>16</v>
      </c>
      <c r="J279" s="82" t="s">
        <v>382</v>
      </c>
      <c r="K279" s="81" t="s">
        <v>534</v>
      </c>
      <c r="L279" s="81">
        <v>73</v>
      </c>
      <c r="M279" s="84">
        <v>0.0449</v>
      </c>
      <c r="N279" s="81">
        <v>2.4</v>
      </c>
      <c r="O279" s="84">
        <v>0.0594</v>
      </c>
    </row>
    <row r="280" spans="9:15">
      <c r="I280" s="79">
        <v>17</v>
      </c>
      <c r="J280" s="80" t="s">
        <v>382</v>
      </c>
      <c r="K280" s="79" t="s">
        <v>537</v>
      </c>
      <c r="L280" s="79">
        <v>68</v>
      </c>
      <c r="M280" s="83">
        <v>-0.3279</v>
      </c>
      <c r="N280" s="79">
        <v>2.3</v>
      </c>
      <c r="O280" s="83">
        <v>0.0542</v>
      </c>
    </row>
    <row r="281" spans="9:15">
      <c r="I281" s="81">
        <v>18</v>
      </c>
      <c r="J281" s="82" t="s">
        <v>382</v>
      </c>
      <c r="K281" s="81" t="s">
        <v>543</v>
      </c>
      <c r="L281" s="81">
        <v>65</v>
      </c>
      <c r="M281" s="84">
        <v>-0.2303</v>
      </c>
      <c r="N281" s="81">
        <v>2.83</v>
      </c>
      <c r="O281" s="84">
        <v>0.0457</v>
      </c>
    </row>
    <row r="282" spans="9:15">
      <c r="I282" s="79">
        <v>19</v>
      </c>
      <c r="J282" s="80" t="s">
        <v>382</v>
      </c>
      <c r="K282" s="79" t="s">
        <v>574</v>
      </c>
      <c r="L282" s="79">
        <v>64</v>
      </c>
      <c r="M282" s="83">
        <v>0.0752</v>
      </c>
      <c r="N282" s="79">
        <v>0.95</v>
      </c>
      <c r="O282" s="83">
        <v>0.1082</v>
      </c>
    </row>
    <row r="283" spans="9:15">
      <c r="I283" s="81">
        <v>20</v>
      </c>
      <c r="J283" s="82" t="s">
        <v>382</v>
      </c>
      <c r="K283" s="81" t="s">
        <v>533</v>
      </c>
      <c r="L283" s="81">
        <v>61</v>
      </c>
      <c r="M283" s="84">
        <v>-0.2914</v>
      </c>
      <c r="N283" s="81">
        <v>1.48</v>
      </c>
      <c r="O283" s="84">
        <v>0.0772</v>
      </c>
    </row>
    <row r="284" spans="9:15">
      <c r="I284" s="79">
        <v>1</v>
      </c>
      <c r="J284" s="80" t="s">
        <v>433</v>
      </c>
      <c r="K284" s="79" t="s">
        <v>522</v>
      </c>
      <c r="L284" s="79">
        <v>64</v>
      </c>
      <c r="M284" s="83">
        <v>-0.4889</v>
      </c>
      <c r="N284" s="79">
        <v>4.6</v>
      </c>
      <c r="O284" s="83">
        <v>0.0366</v>
      </c>
    </row>
    <row r="285" spans="9:15">
      <c r="I285" s="81">
        <v>2</v>
      </c>
      <c r="J285" s="82" t="s">
        <v>568</v>
      </c>
      <c r="K285" s="81" t="s">
        <v>532</v>
      </c>
      <c r="L285" s="81">
        <v>44</v>
      </c>
      <c r="M285" s="84">
        <v>-0.4302</v>
      </c>
      <c r="N285" s="81">
        <v>3.08</v>
      </c>
      <c r="O285" s="84">
        <v>0.0604</v>
      </c>
    </row>
    <row r="286" spans="9:15">
      <c r="I286" s="79">
        <v>3</v>
      </c>
      <c r="J286" s="80" t="s">
        <v>568</v>
      </c>
      <c r="K286" s="79" t="s">
        <v>530</v>
      </c>
      <c r="L286" s="79">
        <v>38</v>
      </c>
      <c r="M286" s="83">
        <v>-0.2546</v>
      </c>
      <c r="N286" s="79">
        <v>1.51</v>
      </c>
      <c r="O286" s="83">
        <v>0.0719</v>
      </c>
    </row>
    <row r="287" spans="9:15">
      <c r="I287" s="81">
        <v>10</v>
      </c>
      <c r="J287" s="82" t="s">
        <v>417</v>
      </c>
      <c r="K287" s="81" t="s">
        <v>535</v>
      </c>
      <c r="L287" s="81">
        <v>24</v>
      </c>
      <c r="M287" s="84">
        <v>-0.3279</v>
      </c>
      <c r="N287" s="81">
        <v>10.11</v>
      </c>
      <c r="O287" s="84">
        <v>0.0147</v>
      </c>
    </row>
    <row r="288" spans="9:15">
      <c r="I288" s="79">
        <v>5</v>
      </c>
      <c r="J288" s="80" t="s">
        <v>568</v>
      </c>
      <c r="K288" s="79" t="s">
        <v>528</v>
      </c>
      <c r="L288" s="79">
        <v>35</v>
      </c>
      <c r="M288" s="83">
        <v>-0.4873</v>
      </c>
      <c r="N288" s="79">
        <v>1.7</v>
      </c>
      <c r="O288" s="83">
        <v>0.0579</v>
      </c>
    </row>
    <row r="289" spans="9:15">
      <c r="I289" s="81">
        <v>6</v>
      </c>
      <c r="J289" s="82" t="s">
        <v>568</v>
      </c>
      <c r="K289" s="81" t="s">
        <v>552</v>
      </c>
      <c r="L289" s="81">
        <v>33</v>
      </c>
      <c r="M289" s="84">
        <v>-0.1216</v>
      </c>
      <c r="N289" s="81">
        <v>1.21</v>
      </c>
      <c r="O289" s="84">
        <v>0.0882</v>
      </c>
    </row>
    <row r="290" spans="9:15">
      <c r="I290" s="79">
        <v>7</v>
      </c>
      <c r="J290" s="80" t="s">
        <v>568</v>
      </c>
      <c r="K290" s="79" t="s">
        <v>538</v>
      </c>
      <c r="L290" s="79">
        <v>32</v>
      </c>
      <c r="M290" s="83">
        <v>-0.6777</v>
      </c>
      <c r="N290" s="79">
        <v>2.83</v>
      </c>
      <c r="O290" s="83">
        <v>0.0332</v>
      </c>
    </row>
    <row r="291" spans="9:15">
      <c r="I291" s="81">
        <v>8</v>
      </c>
      <c r="J291" s="82" t="s">
        <v>568</v>
      </c>
      <c r="K291" s="81" t="s">
        <v>536</v>
      </c>
      <c r="L291" s="81">
        <v>31</v>
      </c>
      <c r="M291" s="84">
        <v>-0.7853</v>
      </c>
      <c r="N291" s="81">
        <v>3.37</v>
      </c>
      <c r="O291" s="84">
        <v>0.0327</v>
      </c>
    </row>
    <row r="292" spans="9:15">
      <c r="I292" s="81">
        <v>10</v>
      </c>
      <c r="J292" s="82" t="s">
        <v>557</v>
      </c>
      <c r="K292" s="81" t="s">
        <v>524</v>
      </c>
      <c r="L292" s="81">
        <v>28</v>
      </c>
      <c r="M292" s="84">
        <v>0.807</v>
      </c>
      <c r="N292" s="81">
        <v>5.01</v>
      </c>
      <c r="O292" s="84">
        <v>0.0314</v>
      </c>
    </row>
    <row r="293" spans="9:15">
      <c r="I293" s="81">
        <v>4</v>
      </c>
      <c r="J293" s="82" t="s">
        <v>433</v>
      </c>
      <c r="K293" s="81" t="s">
        <v>523</v>
      </c>
      <c r="L293" s="81">
        <v>19</v>
      </c>
      <c r="M293" s="84">
        <v>-0.1594</v>
      </c>
      <c r="N293" s="81">
        <v>0.54</v>
      </c>
      <c r="O293" s="84">
        <v>0.0301</v>
      </c>
    </row>
    <row r="294" spans="9:15">
      <c r="I294" s="79">
        <v>11</v>
      </c>
      <c r="J294" s="80" t="s">
        <v>568</v>
      </c>
      <c r="K294" s="79" t="s">
        <v>573</v>
      </c>
      <c r="L294" s="79">
        <v>30</v>
      </c>
      <c r="M294" s="85">
        <v>1.6</v>
      </c>
      <c r="N294" s="79">
        <v>0.54</v>
      </c>
      <c r="O294" s="83">
        <v>0.124</v>
      </c>
    </row>
    <row r="295" spans="9:15">
      <c r="I295" s="81">
        <v>12</v>
      </c>
      <c r="J295" s="82" t="s">
        <v>568</v>
      </c>
      <c r="K295" s="81" t="s">
        <v>541</v>
      </c>
      <c r="L295" s="81">
        <v>30</v>
      </c>
      <c r="M295" s="84">
        <v>-0.6657</v>
      </c>
      <c r="N295" s="81">
        <v>1.29</v>
      </c>
      <c r="O295" s="84">
        <v>0.0696</v>
      </c>
    </row>
    <row r="296" spans="9:15">
      <c r="I296" s="79">
        <v>13</v>
      </c>
      <c r="J296" s="80" t="s">
        <v>568</v>
      </c>
      <c r="K296" s="79" t="s">
        <v>546</v>
      </c>
      <c r="L296" s="79">
        <v>29</v>
      </c>
      <c r="M296" s="83">
        <v>-0.3815</v>
      </c>
      <c r="N296" s="79">
        <v>1.5</v>
      </c>
      <c r="O296" s="83">
        <v>0.0565</v>
      </c>
    </row>
    <row r="297" spans="9:15">
      <c r="I297" s="81">
        <v>14</v>
      </c>
      <c r="J297" s="82" t="s">
        <v>568</v>
      </c>
      <c r="K297" s="81" t="s">
        <v>554</v>
      </c>
      <c r="L297" s="81">
        <v>27</v>
      </c>
      <c r="M297" s="84">
        <v>0.0417</v>
      </c>
      <c r="N297" s="81">
        <v>0</v>
      </c>
      <c r="O297" s="81" t="s">
        <v>339</v>
      </c>
    </row>
    <row r="298" spans="9:15">
      <c r="I298" s="79">
        <v>15</v>
      </c>
      <c r="J298" s="80" t="s">
        <v>568</v>
      </c>
      <c r="K298" s="79" t="s">
        <v>567</v>
      </c>
      <c r="L298" s="79">
        <v>27</v>
      </c>
      <c r="M298" s="83">
        <v>0.0421</v>
      </c>
      <c r="N298" s="79">
        <v>0.51</v>
      </c>
      <c r="O298" s="83">
        <v>0.147</v>
      </c>
    </row>
    <row r="299" spans="9:15">
      <c r="I299" s="81">
        <v>16</v>
      </c>
      <c r="J299" s="82" t="s">
        <v>568</v>
      </c>
      <c r="K299" s="81" t="s">
        <v>547</v>
      </c>
      <c r="L299" s="81">
        <v>26</v>
      </c>
      <c r="M299" s="84">
        <v>-0.5752</v>
      </c>
      <c r="N299" s="81">
        <v>1.33</v>
      </c>
      <c r="O299" s="84">
        <v>0.0597</v>
      </c>
    </row>
    <row r="300" spans="9:15">
      <c r="I300" s="79">
        <v>19</v>
      </c>
      <c r="J300" s="80" t="s">
        <v>557</v>
      </c>
      <c r="K300" s="79" t="s">
        <v>527</v>
      </c>
      <c r="L300" s="79">
        <v>18</v>
      </c>
      <c r="M300" s="83">
        <v>-0.5645</v>
      </c>
      <c r="N300" s="79">
        <v>6.34</v>
      </c>
      <c r="O300" s="83">
        <v>0.0103</v>
      </c>
    </row>
    <row r="301" spans="9:15">
      <c r="I301" s="81">
        <v>18</v>
      </c>
      <c r="J301" s="82" t="s">
        <v>568</v>
      </c>
      <c r="K301" s="81" t="s">
        <v>533</v>
      </c>
      <c r="L301" s="81">
        <v>25</v>
      </c>
      <c r="M301" s="84">
        <v>-0.0825</v>
      </c>
      <c r="N301" s="81">
        <v>1.04</v>
      </c>
      <c r="O301" s="84">
        <v>0.0746</v>
      </c>
    </row>
    <row r="302" spans="9:15">
      <c r="I302" s="79">
        <v>19</v>
      </c>
      <c r="J302" s="80" t="s">
        <v>568</v>
      </c>
      <c r="K302" s="79" t="s">
        <v>534</v>
      </c>
      <c r="L302" s="79">
        <v>25</v>
      </c>
      <c r="M302" s="83">
        <v>0.2941</v>
      </c>
      <c r="N302" s="79">
        <v>1.99</v>
      </c>
      <c r="O302" s="83">
        <v>0.0399</v>
      </c>
    </row>
    <row r="303" spans="9:15">
      <c r="I303" s="81">
        <v>20</v>
      </c>
      <c r="J303" s="82" t="s">
        <v>568</v>
      </c>
      <c r="K303" s="81" t="s">
        <v>537</v>
      </c>
      <c r="L303" s="81">
        <v>22</v>
      </c>
      <c r="M303" s="84">
        <v>-0.4016</v>
      </c>
      <c r="N303" s="81">
        <v>1.27</v>
      </c>
      <c r="O303" s="84">
        <v>0.0565</v>
      </c>
    </row>
  </sheetData>
  <sheetProtection formatCells="0" insertHyperlinks="0" autoFilter="0"/>
  <autoFilter xmlns:etc="http://www.wps.cn/officeDocument/2017/etCustomData" ref="I1:O303" etc:filterBottomFollowUsedRange="0">
    <sortState ref="I1:O303">
      <sortCondition ref="L1" descending="1"/>
    </sortState>
    <extLst/>
  </autoFilter>
  <mergeCells count="62">
    <mergeCell ref="T1:AE1"/>
    <mergeCell ref="T2:W2"/>
    <mergeCell ref="X2:AA2"/>
    <mergeCell ref="AB2:AE2"/>
    <mergeCell ref="T5:W5"/>
    <mergeCell ref="X5:AA5"/>
    <mergeCell ref="AB5:AE5"/>
    <mergeCell ref="T8:W8"/>
    <mergeCell ref="X8:AA8"/>
    <mergeCell ref="AB8:AE8"/>
    <mergeCell ref="T11:W11"/>
    <mergeCell ref="X11:AA11"/>
    <mergeCell ref="AB11:AE11"/>
    <mergeCell ref="T14:W14"/>
    <mergeCell ref="X14:AA14"/>
    <mergeCell ref="AB14:AE14"/>
    <mergeCell ref="T17:W17"/>
    <mergeCell ref="X17:AA17"/>
    <mergeCell ref="AB17:AE17"/>
    <mergeCell ref="T20:W20"/>
    <mergeCell ref="X20:AA20"/>
    <mergeCell ref="AB20:AE20"/>
    <mergeCell ref="R2:R4"/>
    <mergeCell ref="R5:R7"/>
    <mergeCell ref="R8:R10"/>
    <mergeCell ref="R11:R13"/>
    <mergeCell ref="R14:R16"/>
    <mergeCell ref="R17:R19"/>
    <mergeCell ref="R20:R22"/>
    <mergeCell ref="R23:R25"/>
    <mergeCell ref="R26:R28"/>
    <mergeCell ref="R29:R31"/>
    <mergeCell ref="R32:R34"/>
    <mergeCell ref="R35:R37"/>
    <mergeCell ref="R38:R40"/>
    <mergeCell ref="R41:R43"/>
    <mergeCell ref="R44:R46"/>
    <mergeCell ref="R47:R49"/>
    <mergeCell ref="R50:R52"/>
    <mergeCell ref="R53:R55"/>
    <mergeCell ref="R56:R58"/>
    <mergeCell ref="R59:R61"/>
    <mergeCell ref="S2:S4"/>
    <mergeCell ref="S5:S7"/>
    <mergeCell ref="S8:S10"/>
    <mergeCell ref="S11:S13"/>
    <mergeCell ref="S14:S16"/>
    <mergeCell ref="S17:S19"/>
    <mergeCell ref="S20:S22"/>
    <mergeCell ref="S23:S25"/>
    <mergeCell ref="S26:S28"/>
    <mergeCell ref="S29:S31"/>
    <mergeCell ref="S32:S34"/>
    <mergeCell ref="S35:S37"/>
    <mergeCell ref="S38:S40"/>
    <mergeCell ref="S41:S43"/>
    <mergeCell ref="S44:S46"/>
    <mergeCell ref="S47:S49"/>
    <mergeCell ref="S50:S52"/>
    <mergeCell ref="S53:S55"/>
    <mergeCell ref="S56:S58"/>
    <mergeCell ref="S59:S61"/>
  </mergeCells>
  <conditionalFormatting sqref="C2:C21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{ec42052e-1c96-451c-8d9c-33eac82fcdb2}</x14:id>
        </ext>
      </extLst>
    </cfRule>
  </conditionalFormatting>
  <conditionalFormatting sqref="D2:D21"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E2:E21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{c5804b28-73a1-4cf4-ac52-4e1e49f0b1ea}</x14:id>
        </ext>
      </extLst>
    </cfRule>
  </conditionalFormatting>
  <conditionalFormatting sqref="F2:F2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{4c791456-d3f0-4cff-bee7-81b47f068f17}</x14:id>
        </ext>
      </extLst>
    </cfRule>
  </conditionalFormatting>
  <pageMargins left="0.75" right="0.75" top="1" bottom="1" header="0.511805555555556" footer="0.511805555555556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42052e-1c96-451c-8d9c-33eac82fcd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C2:C21</xm:sqref>
        </x14:conditionalFormatting>
        <x14:conditionalFormatting xmlns:xm="http://schemas.microsoft.com/office/excel/2006/main">
          <x14:cfRule type="dataBar" id="{c5804b28-73a1-4cf4-ac52-4e1e49f0b1e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E2:E21</xm:sqref>
        </x14:conditionalFormatting>
        <x14:conditionalFormatting xmlns:xm="http://schemas.microsoft.com/office/excel/2006/main">
          <x14:cfRule type="dataBar" id="{4c791456-d3f0-4cff-bee7-81b47f068f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F2:F21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"/>
  <sheetViews>
    <sheetView workbookViewId="0">
      <selection activeCell="D11" sqref="D11"/>
    </sheetView>
  </sheetViews>
  <sheetFormatPr defaultColWidth="9.14166666666667" defaultRowHeight="17.25"/>
  <cols>
    <col min="1" max="1" width="9.14166666666667" style="1"/>
    <col min="2" max="2" width="22.8583333333333" style="1" customWidth="1"/>
    <col min="3" max="3" width="48.8" style="1" customWidth="1"/>
    <col min="4" max="4" width="9.46666666666667" style="1" customWidth="1"/>
    <col min="5" max="5" width="10.8583333333333" style="1"/>
    <col min="6" max="6" width="9.71666666666667" style="1" customWidth="1"/>
    <col min="7" max="7" width="15.475" style="1" customWidth="1"/>
    <col min="8" max="8" width="13.75" style="1" customWidth="1"/>
    <col min="9" max="16384" width="9.14166666666667" style="1"/>
  </cols>
  <sheetData>
    <row r="1" ht="31" customHeight="1" spans="1:8">
      <c r="A1" s="55" t="s">
        <v>575</v>
      </c>
      <c r="B1" s="55" t="s">
        <v>90</v>
      </c>
      <c r="C1" s="55" t="s">
        <v>576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577</v>
      </c>
    </row>
    <row r="2" spans="1:16">
      <c r="A2" s="56">
        <v>1</v>
      </c>
      <c r="B2" s="56" t="s">
        <v>578</v>
      </c>
      <c r="C2" s="57" t="s">
        <v>579</v>
      </c>
      <c r="D2" s="56">
        <v>2697</v>
      </c>
      <c r="E2" s="62">
        <v>0.481</v>
      </c>
      <c r="F2" s="62">
        <v>0.0187</v>
      </c>
      <c r="G2" s="56">
        <v>99</v>
      </c>
      <c r="H2" s="63">
        <v>-0.01</v>
      </c>
      <c r="I2" s="67"/>
      <c r="J2" s="67"/>
      <c r="K2" s="67"/>
      <c r="L2" s="67"/>
      <c r="M2" s="67"/>
      <c r="N2" s="67"/>
      <c r="O2" s="67"/>
      <c r="P2" s="67"/>
    </row>
    <row r="3" ht="16" customHeight="1" spans="1:16">
      <c r="A3" s="58">
        <v>2</v>
      </c>
      <c r="B3" s="58" t="s">
        <v>580</v>
      </c>
      <c r="C3" s="59" t="s">
        <v>581</v>
      </c>
      <c r="D3" s="58">
        <v>250</v>
      </c>
      <c r="E3" s="64">
        <v>-0.162</v>
      </c>
      <c r="F3" s="64">
        <v>0.0623</v>
      </c>
      <c r="G3" s="58">
        <v>156</v>
      </c>
      <c r="H3" s="64">
        <v>-0.005</v>
      </c>
      <c r="I3" s="67"/>
      <c r="J3" s="67"/>
      <c r="K3" s="67"/>
      <c r="L3" s="67"/>
      <c r="M3" s="67"/>
      <c r="N3" s="67"/>
      <c r="O3" s="67"/>
      <c r="P3" s="67"/>
    </row>
    <row r="4" spans="1:16">
      <c r="A4" s="60">
        <v>3</v>
      </c>
      <c r="B4" s="60" t="s">
        <v>582</v>
      </c>
      <c r="C4" s="61" t="s">
        <v>583</v>
      </c>
      <c r="D4" s="60">
        <v>222</v>
      </c>
      <c r="E4" s="65">
        <v>-0.079</v>
      </c>
      <c r="F4" s="65">
        <v>0.0557</v>
      </c>
      <c r="G4" s="60">
        <v>129</v>
      </c>
      <c r="H4" s="65">
        <v>0.005</v>
      </c>
      <c r="I4" s="67"/>
      <c r="J4" s="67"/>
      <c r="K4" s="67"/>
      <c r="L4" s="67"/>
      <c r="M4" s="67"/>
      <c r="N4" s="67"/>
      <c r="O4" s="67"/>
      <c r="P4" s="67"/>
    </row>
    <row r="5" ht="16" customHeight="1" spans="1:16">
      <c r="A5" s="58">
        <v>4</v>
      </c>
      <c r="B5" s="58" t="s">
        <v>584</v>
      </c>
      <c r="C5" s="59" t="s">
        <v>585</v>
      </c>
      <c r="D5" s="58">
        <v>149</v>
      </c>
      <c r="E5" s="64">
        <v>-0.029</v>
      </c>
      <c r="F5" s="64">
        <v>0.1333</v>
      </c>
      <c r="G5" s="58">
        <v>58</v>
      </c>
      <c r="H5" s="64">
        <v>-0.007</v>
      </c>
      <c r="I5" s="67"/>
      <c r="J5" s="67"/>
      <c r="K5" s="67"/>
      <c r="L5" s="67"/>
      <c r="M5" s="67"/>
      <c r="N5" s="67"/>
      <c r="O5" s="67"/>
      <c r="P5" s="67"/>
    </row>
    <row r="6" spans="1:16">
      <c r="A6" s="60">
        <v>5</v>
      </c>
      <c r="B6" s="60" t="s">
        <v>586</v>
      </c>
      <c r="C6" s="61" t="s">
        <v>587</v>
      </c>
      <c r="D6" s="60">
        <v>120</v>
      </c>
      <c r="E6" s="66">
        <v>0.24</v>
      </c>
      <c r="F6" s="65">
        <v>0.0751</v>
      </c>
      <c r="G6" s="60">
        <v>43</v>
      </c>
      <c r="H6" s="66">
        <v>0.01</v>
      </c>
      <c r="I6" s="67"/>
      <c r="J6" s="67"/>
      <c r="K6" s="67"/>
      <c r="L6" s="67"/>
      <c r="M6" s="67"/>
      <c r="N6" s="67"/>
      <c r="O6" s="67"/>
      <c r="P6" s="67"/>
    </row>
    <row r="7" spans="1:16">
      <c r="A7" s="58">
        <v>6</v>
      </c>
      <c r="B7" s="58" t="s">
        <v>588</v>
      </c>
      <c r="C7" s="59" t="s">
        <v>589</v>
      </c>
      <c r="D7" s="58">
        <v>97</v>
      </c>
      <c r="E7" s="64">
        <v>-0.043</v>
      </c>
      <c r="F7" s="64">
        <v>0.1392</v>
      </c>
      <c r="G7" s="58">
        <v>97</v>
      </c>
      <c r="H7" s="58" t="s">
        <v>590</v>
      </c>
      <c r="I7" s="67"/>
      <c r="J7" s="67"/>
      <c r="K7" s="67"/>
      <c r="L7" s="67"/>
      <c r="M7" s="67"/>
      <c r="N7" s="67"/>
      <c r="O7" s="67"/>
      <c r="P7" s="67"/>
    </row>
    <row r="8" s="54" customFormat="1" ht="16" customHeight="1" spans="1:16">
      <c r="A8" s="60">
        <v>7</v>
      </c>
      <c r="B8" s="60" t="s">
        <v>591</v>
      </c>
      <c r="C8" s="61" t="s">
        <v>592</v>
      </c>
      <c r="D8" s="60">
        <v>94</v>
      </c>
      <c r="E8" s="65">
        <v>-0.184</v>
      </c>
      <c r="F8" s="65">
        <v>0.0633</v>
      </c>
      <c r="G8" s="60">
        <v>66</v>
      </c>
      <c r="H8" s="65">
        <v>-0.012</v>
      </c>
      <c r="I8" s="68"/>
      <c r="J8" s="68"/>
      <c r="K8" s="68"/>
      <c r="L8" s="68"/>
      <c r="M8" s="68"/>
      <c r="N8" s="68"/>
      <c r="O8" s="68"/>
      <c r="P8" s="68"/>
    </row>
    <row r="9" s="54" customFormat="1" ht="16" customHeight="1" spans="1:16">
      <c r="A9" s="58">
        <v>8</v>
      </c>
      <c r="B9" s="58" t="s">
        <v>593</v>
      </c>
      <c r="C9" s="59" t="s">
        <v>594</v>
      </c>
      <c r="D9" s="58">
        <v>87</v>
      </c>
      <c r="E9" s="64">
        <v>-0.01</v>
      </c>
      <c r="F9" s="64">
        <v>0.166</v>
      </c>
      <c r="G9" s="58">
        <v>25</v>
      </c>
      <c r="H9" s="64">
        <v>0.047</v>
      </c>
      <c r="I9" s="68"/>
      <c r="J9" s="68"/>
      <c r="K9" s="68"/>
      <c r="L9" s="68"/>
      <c r="M9" s="68"/>
      <c r="N9" s="68"/>
      <c r="O9" s="68"/>
      <c r="P9" s="68"/>
    </row>
    <row r="10" s="54" customFormat="1" ht="16" customHeight="1" spans="1:16">
      <c r="A10" s="60">
        <v>9</v>
      </c>
      <c r="B10" s="60" t="s">
        <v>595</v>
      </c>
      <c r="C10" s="60" t="s">
        <v>596</v>
      </c>
      <c r="D10" s="60">
        <v>86</v>
      </c>
      <c r="E10" s="65">
        <v>0.164</v>
      </c>
      <c r="F10" s="65">
        <v>0.0921</v>
      </c>
      <c r="G10" s="60">
        <v>116</v>
      </c>
      <c r="H10" s="65">
        <v>-0.024</v>
      </c>
      <c r="I10" s="68"/>
      <c r="J10" s="68"/>
      <c r="K10" s="68"/>
      <c r="L10" s="68"/>
      <c r="M10" s="68"/>
      <c r="N10" s="68"/>
      <c r="O10" s="68"/>
      <c r="P10" s="68"/>
    </row>
    <row r="11" s="54" customFormat="1" ht="16" customHeight="1" spans="1:16">
      <c r="A11" s="58">
        <v>10</v>
      </c>
      <c r="B11" s="58" t="s">
        <v>597</v>
      </c>
      <c r="C11" s="59" t="s">
        <v>598</v>
      </c>
      <c r="D11" s="58">
        <v>81</v>
      </c>
      <c r="E11" s="64">
        <v>0.278</v>
      </c>
      <c r="F11" s="64">
        <v>0.112</v>
      </c>
      <c r="G11" s="58">
        <v>91</v>
      </c>
      <c r="H11" s="58" t="s">
        <v>590</v>
      </c>
      <c r="I11" s="68"/>
      <c r="J11" s="68"/>
      <c r="K11" s="68"/>
      <c r="L11" s="68"/>
      <c r="M11" s="68"/>
      <c r="N11" s="68"/>
      <c r="O11" s="68"/>
      <c r="P11" s="68"/>
    </row>
    <row r="12" s="54" customFormat="1" ht="16" customHeight="1" spans="1:16">
      <c r="A12" s="60">
        <v>11</v>
      </c>
      <c r="B12" s="60" t="s">
        <v>599</v>
      </c>
      <c r="C12" s="61" t="s">
        <v>600</v>
      </c>
      <c r="D12" s="60">
        <v>78</v>
      </c>
      <c r="E12" s="65">
        <v>0.251</v>
      </c>
      <c r="F12" s="65">
        <v>0.2181</v>
      </c>
      <c r="G12" s="60">
        <v>71</v>
      </c>
      <c r="H12" s="65">
        <v>-0.003</v>
      </c>
      <c r="I12" s="68"/>
      <c r="J12" s="68"/>
      <c r="K12" s="68"/>
      <c r="L12" s="68"/>
      <c r="M12" s="68"/>
      <c r="N12" s="68"/>
      <c r="O12" s="68"/>
      <c r="P12" s="68"/>
    </row>
  </sheetData>
  <sheetProtection formatCells="0" insertHyperlinks="0" autoFilter="0"/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1"/>
  <sheetViews>
    <sheetView zoomScale="55" zoomScaleNormal="55" topLeftCell="G1" workbookViewId="0">
      <selection activeCell="N6" sqref="N6"/>
    </sheetView>
  </sheetViews>
  <sheetFormatPr defaultColWidth="8.95833333333333" defaultRowHeight="27.75"/>
  <cols>
    <col min="1" max="4" width="15.75" style="42" customWidth="1"/>
    <col min="5" max="5" width="19.4666666666667" style="42" customWidth="1"/>
    <col min="6" max="6" width="35.8833333333333" style="42" customWidth="1"/>
    <col min="7" max="7" width="26.9083333333333" style="42" customWidth="1"/>
    <col min="8" max="8" width="15.5333333333333" style="42" customWidth="1"/>
    <col min="9" max="9" width="18.8166666666667" style="42" customWidth="1"/>
    <col min="10" max="12" width="13.5833333333333" style="42" customWidth="1"/>
    <col min="13" max="13" width="21.225" style="42" customWidth="1"/>
    <col min="14" max="14" width="26.475" style="42" customWidth="1"/>
    <col min="15" max="15" width="33.9083333333333" style="40" customWidth="1"/>
    <col min="16" max="16" width="25.1583333333333" style="40" customWidth="1"/>
    <col min="17" max="17" width="26.0333333333333" style="40" customWidth="1"/>
    <col min="18" max="18" width="37.1416666666667" style="40" customWidth="1"/>
    <col min="19" max="16384" width="8.95833333333333" style="40"/>
  </cols>
  <sheetData>
    <row r="1" s="40" customFormat="1" ht="52" customHeight="1" spans="1:18">
      <c r="A1" s="43" t="s">
        <v>601</v>
      </c>
      <c r="B1" s="43"/>
      <c r="C1" s="43"/>
      <c r="D1" s="43"/>
      <c r="E1" s="43"/>
      <c r="F1" s="43"/>
      <c r="G1" s="43"/>
      <c r="H1" s="45" t="s">
        <v>602</v>
      </c>
      <c r="I1" s="45"/>
      <c r="J1" s="45"/>
      <c r="K1" s="45"/>
      <c r="L1" s="45"/>
      <c r="M1" s="45"/>
      <c r="N1" s="47"/>
      <c r="O1" s="48" t="s">
        <v>603</v>
      </c>
      <c r="P1" s="49"/>
      <c r="Q1" s="49"/>
      <c r="R1" s="53"/>
    </row>
    <row r="2" s="41" customFormat="1" ht="52" customHeight="1" spans="1:18">
      <c r="A2" s="44" t="s">
        <v>604</v>
      </c>
      <c r="B2" s="44" t="s">
        <v>605</v>
      </c>
      <c r="C2" s="44" t="s">
        <v>606</v>
      </c>
      <c r="D2" s="44" t="s">
        <v>607</v>
      </c>
      <c r="E2" s="46" t="s">
        <v>608</v>
      </c>
      <c r="F2" s="46" t="s">
        <v>609</v>
      </c>
      <c r="G2" s="46" t="s">
        <v>610</v>
      </c>
      <c r="H2" s="46" t="s">
        <v>611</v>
      </c>
      <c r="I2" s="44" t="s">
        <v>612</v>
      </c>
      <c r="J2" s="44" t="s">
        <v>613</v>
      </c>
      <c r="K2" s="44" t="s">
        <v>614</v>
      </c>
      <c r="L2" s="44" t="s">
        <v>615</v>
      </c>
      <c r="M2" s="44" t="s">
        <v>616</v>
      </c>
      <c r="N2" s="46" t="s">
        <v>617</v>
      </c>
      <c r="O2" s="50" t="s">
        <v>618</v>
      </c>
      <c r="P2" s="51" t="s">
        <v>619</v>
      </c>
      <c r="Q2" s="51" t="s">
        <v>620</v>
      </c>
      <c r="R2" s="51" t="s">
        <v>621</v>
      </c>
    </row>
    <row r="3" s="40" customFormat="1" ht="52" customHeight="1" spans="1:18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52"/>
      <c r="P3" s="42"/>
      <c r="Q3" s="42"/>
      <c r="R3" s="42"/>
    </row>
    <row r="4" s="40" customFormat="1" ht="52" customHeight="1" spans="1:18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52"/>
      <c r="P4" s="42"/>
      <c r="Q4" s="42"/>
      <c r="R4" s="42"/>
    </row>
    <row r="5" s="40" customFormat="1" ht="52" customHeight="1" spans="1:18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52"/>
      <c r="P5" s="42"/>
      <c r="Q5" s="42"/>
      <c r="R5" s="42"/>
    </row>
    <row r="6" s="40" customFormat="1" ht="52" customHeight="1" spans="1:18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52"/>
      <c r="P6" s="42"/>
      <c r="Q6" s="42"/>
      <c r="R6" s="42"/>
    </row>
    <row r="7" s="40" customFormat="1" ht="52" customHeight="1" spans="1:18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52"/>
      <c r="P7" s="42"/>
      <c r="Q7" s="42"/>
      <c r="R7" s="42"/>
    </row>
    <row r="8" s="40" customFormat="1" ht="52" customHeight="1" spans="1:18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52"/>
      <c r="P8" s="42"/>
      <c r="Q8" s="42"/>
      <c r="R8" s="42"/>
    </row>
    <row r="9" s="40" customFormat="1" ht="52" customHeight="1" spans="1:18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52"/>
      <c r="P9" s="42"/>
      <c r="Q9" s="42"/>
      <c r="R9" s="42"/>
    </row>
    <row r="10" s="40" customFormat="1" ht="52" customHeight="1" spans="1:18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52"/>
      <c r="P10" s="42"/>
      <c r="Q10" s="42"/>
      <c r="R10" s="42"/>
    </row>
    <row r="11" s="40" customFormat="1" ht="52" customHeight="1" spans="1:18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52"/>
      <c r="P11" s="42"/>
      <c r="Q11" s="42"/>
      <c r="R11" s="42"/>
    </row>
    <row r="12" s="40" customFormat="1" ht="52" customHeight="1" spans="1:18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52"/>
      <c r="P12" s="42"/>
      <c r="Q12" s="42"/>
      <c r="R12" s="42"/>
    </row>
    <row r="13" s="40" customFormat="1" ht="52" customHeight="1" spans="1:18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52"/>
      <c r="P13" s="42"/>
      <c r="Q13" s="42"/>
      <c r="R13" s="42"/>
    </row>
    <row r="14" s="40" customFormat="1" ht="52" customHeight="1" spans="1:18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52"/>
      <c r="P14" s="42"/>
      <c r="Q14" s="42"/>
      <c r="R14" s="42"/>
    </row>
    <row r="15" s="40" customFormat="1" ht="52" customHeight="1" spans="1:18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52"/>
      <c r="P15" s="42"/>
      <c r="Q15" s="42"/>
      <c r="R15" s="42"/>
    </row>
    <row r="16" s="40" customFormat="1" ht="52" customHeight="1" spans="1:18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52"/>
      <c r="P16" s="42"/>
      <c r="Q16" s="42"/>
      <c r="R16" s="42"/>
    </row>
    <row r="17" s="40" customFormat="1" ht="52" customHeight="1" spans="1:18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52"/>
      <c r="P17" s="42"/>
      <c r="Q17" s="42"/>
      <c r="R17" s="42"/>
    </row>
    <row r="18" s="40" customFormat="1" ht="52" customHeight="1" spans="1:18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52"/>
      <c r="P18" s="42"/>
      <c r="Q18" s="42"/>
      <c r="R18" s="42"/>
    </row>
    <row r="19" s="40" customFormat="1" ht="52" customHeight="1" spans="1:18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52"/>
      <c r="P19" s="42"/>
      <c r="Q19" s="42"/>
      <c r="R19" s="42"/>
    </row>
    <row r="20" s="40" customFormat="1" ht="52" customHeight="1" spans="1:18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52"/>
      <c r="P20" s="42"/>
      <c r="Q20" s="42"/>
      <c r="R20" s="42"/>
    </row>
    <row r="21" s="40" customFormat="1" ht="52" customHeight="1" spans="1:18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52"/>
      <c r="P21" s="42"/>
      <c r="Q21" s="42"/>
      <c r="R21" s="42"/>
    </row>
    <row r="22" s="40" customFormat="1" ht="52" customHeight="1" spans="1:18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52"/>
      <c r="P22" s="42"/>
      <c r="Q22" s="42"/>
      <c r="R22" s="42"/>
    </row>
    <row r="23" s="40" customFormat="1" ht="52" customHeight="1" spans="1:18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52"/>
      <c r="P23" s="42"/>
      <c r="Q23" s="42"/>
      <c r="R23" s="42"/>
    </row>
    <row r="24" s="40" customFormat="1" ht="52" customHeight="1" spans="1:18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52"/>
      <c r="P24" s="42"/>
      <c r="Q24" s="42"/>
      <c r="R24" s="42"/>
    </row>
    <row r="25" s="40" customFormat="1" ht="52" customHeight="1" spans="1:18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52"/>
      <c r="P25" s="42"/>
      <c r="Q25" s="42"/>
      <c r="R25" s="42"/>
    </row>
    <row r="26" s="40" customFormat="1" ht="52" customHeight="1" spans="1:18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52"/>
      <c r="P26" s="42"/>
      <c r="Q26" s="42"/>
      <c r="R26" s="42"/>
    </row>
    <row r="27" s="40" customFormat="1" ht="52" customHeight="1" spans="1:18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52"/>
      <c r="P27" s="42"/>
      <c r="Q27" s="42"/>
      <c r="R27" s="42"/>
    </row>
    <row r="28" s="40" customFormat="1" ht="52" customHeight="1" spans="1:18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52"/>
      <c r="P28" s="42"/>
      <c r="Q28" s="42"/>
      <c r="R28" s="42"/>
    </row>
    <row r="29" s="40" customFormat="1" ht="52" customHeight="1" spans="1:18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52"/>
      <c r="P29" s="42"/>
      <c r="Q29" s="42"/>
      <c r="R29" s="42"/>
    </row>
    <row r="30" s="40" customFormat="1" ht="52" customHeight="1" spans="1:18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52"/>
      <c r="P30" s="42"/>
      <c r="Q30" s="42"/>
      <c r="R30" s="42"/>
    </row>
    <row r="31" s="40" customFormat="1" ht="52" customHeight="1" spans="1:18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52"/>
      <c r="P31" s="42"/>
      <c r="Q31" s="42"/>
      <c r="R31" s="42"/>
    </row>
    <row r="32" s="40" customFormat="1" ht="52" customHeight="1" spans="1:18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52"/>
      <c r="P32" s="42"/>
      <c r="Q32" s="42"/>
      <c r="R32" s="42"/>
    </row>
    <row r="33" s="40" customFormat="1" ht="52" customHeight="1" spans="1:18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52"/>
      <c r="P33" s="42"/>
      <c r="Q33" s="42"/>
      <c r="R33" s="42"/>
    </row>
    <row r="34" s="40" customFormat="1" ht="52" customHeight="1" spans="1:18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52"/>
      <c r="P34" s="42"/>
      <c r="Q34" s="42"/>
      <c r="R34" s="42"/>
    </row>
    <row r="35" s="40" customFormat="1" ht="52" customHeight="1" spans="1:18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52"/>
      <c r="P35" s="42"/>
      <c r="Q35" s="42"/>
      <c r="R35" s="42"/>
    </row>
    <row r="36" s="40" customFormat="1" ht="52" customHeight="1" spans="1:18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52"/>
      <c r="P36" s="42"/>
      <c r="Q36" s="42"/>
      <c r="R36" s="42"/>
    </row>
    <row r="37" s="40" customFormat="1" ht="52" customHeight="1" spans="1:18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52"/>
      <c r="P37" s="42"/>
      <c r="Q37" s="42"/>
      <c r="R37" s="42"/>
    </row>
    <row r="38" s="40" customFormat="1" ht="52" customHeight="1" spans="1:18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52"/>
      <c r="P38" s="42"/>
      <c r="Q38" s="42"/>
      <c r="R38" s="42"/>
    </row>
    <row r="39" s="40" customFormat="1" ht="52" customHeight="1" spans="1:18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52"/>
      <c r="P39" s="42"/>
      <c r="Q39" s="42"/>
      <c r="R39" s="42"/>
    </row>
    <row r="40" s="40" customFormat="1" ht="52" customHeight="1" spans="1:18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52"/>
      <c r="P40" s="42"/>
      <c r="Q40" s="42"/>
      <c r="R40" s="42"/>
    </row>
    <row r="41" s="40" customFormat="1" ht="52" customHeight="1" spans="1:18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52"/>
      <c r="P41" s="42"/>
      <c r="Q41" s="42"/>
      <c r="R41" s="42"/>
    </row>
    <row r="42" s="40" customFormat="1" ht="52" customHeight="1" spans="1:18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52"/>
      <c r="P42" s="42"/>
      <c r="Q42" s="42"/>
      <c r="R42" s="42"/>
    </row>
    <row r="43" s="40" customFormat="1" ht="52" customHeight="1" spans="1:18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52"/>
      <c r="P43" s="42"/>
      <c r="Q43" s="42"/>
      <c r="R43" s="42"/>
    </row>
    <row r="44" s="40" customFormat="1" ht="52" customHeight="1" spans="1:18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52"/>
      <c r="P44" s="42"/>
      <c r="Q44" s="42"/>
      <c r="R44" s="42"/>
    </row>
    <row r="45" s="40" customFormat="1" ht="52" customHeight="1" spans="1:18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52"/>
      <c r="P45" s="42"/>
      <c r="Q45" s="42"/>
      <c r="R45" s="42"/>
    </row>
    <row r="46" s="40" customFormat="1" ht="52" customHeight="1" spans="1:18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52"/>
      <c r="P46" s="42"/>
      <c r="Q46" s="42"/>
      <c r="R46" s="42"/>
    </row>
    <row r="47" s="40" customFormat="1" ht="52" customHeight="1" spans="1:18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52"/>
      <c r="P47" s="42"/>
      <c r="Q47" s="42"/>
      <c r="R47" s="42"/>
    </row>
    <row r="48" s="40" customFormat="1" ht="52" customHeight="1" spans="1:18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52"/>
      <c r="P48" s="42"/>
      <c r="Q48" s="42"/>
      <c r="R48" s="42"/>
    </row>
    <row r="49" s="40" customFormat="1" ht="52" customHeight="1" spans="1:18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52"/>
      <c r="P49" s="42"/>
      <c r="Q49" s="42"/>
      <c r="R49" s="42"/>
    </row>
    <row r="50" s="40" customFormat="1" ht="52" customHeight="1" spans="1:18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52"/>
      <c r="P50" s="42"/>
      <c r="Q50" s="42"/>
      <c r="R50" s="42"/>
    </row>
    <row r="51" s="40" customFormat="1" ht="52" customHeight="1" spans="1:18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52"/>
      <c r="P51" s="42"/>
      <c r="Q51" s="42"/>
      <c r="R51" s="42"/>
    </row>
    <row r="52" s="40" customFormat="1" ht="52" customHeight="1" spans="1:18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52"/>
      <c r="P52" s="42"/>
      <c r="Q52" s="42"/>
      <c r="R52" s="42"/>
    </row>
    <row r="53" s="40" customFormat="1" ht="52" customHeight="1" spans="1:18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52"/>
      <c r="P53" s="42"/>
      <c r="Q53" s="42"/>
      <c r="R53" s="42"/>
    </row>
    <row r="54" s="40" customFormat="1" ht="52" customHeight="1" spans="1:18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52"/>
      <c r="P54" s="42"/>
      <c r="Q54" s="42"/>
      <c r="R54" s="42"/>
    </row>
    <row r="55" s="40" customFormat="1" ht="52" customHeight="1" spans="1:18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52"/>
      <c r="P55" s="42"/>
      <c r="Q55" s="42"/>
      <c r="R55" s="42"/>
    </row>
    <row r="56" s="40" customFormat="1" ht="52" customHeight="1" spans="1:18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52"/>
      <c r="P56" s="42"/>
      <c r="Q56" s="42"/>
      <c r="R56" s="42"/>
    </row>
    <row r="57" s="40" customFormat="1" ht="52" customHeight="1" spans="1:18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52"/>
      <c r="P57" s="42"/>
      <c r="Q57" s="42"/>
      <c r="R57" s="42"/>
    </row>
    <row r="58" s="40" customFormat="1" ht="52" customHeight="1" spans="1:18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52"/>
      <c r="P58" s="42"/>
      <c r="Q58" s="42"/>
      <c r="R58" s="42"/>
    </row>
    <row r="59" s="40" customFormat="1" ht="52" customHeight="1" spans="1:18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52"/>
      <c r="P59" s="42"/>
      <c r="Q59" s="42"/>
      <c r="R59" s="42"/>
    </row>
    <row r="60" s="40" customFormat="1" ht="52" customHeight="1" spans="1:18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52"/>
      <c r="P60" s="42"/>
      <c r="Q60" s="42"/>
      <c r="R60" s="42"/>
    </row>
    <row r="61" s="40" customFormat="1" ht="52" customHeight="1" spans="1:18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52"/>
      <c r="P61" s="42"/>
      <c r="Q61" s="42"/>
      <c r="R61" s="42"/>
    </row>
  </sheetData>
  <sheetProtection formatCells="0" insertHyperlinks="0" autoFilter="0"/>
  <mergeCells count="3">
    <mergeCell ref="A1:G1"/>
    <mergeCell ref="H1:N1"/>
    <mergeCell ref="O1:R1"/>
  </mergeCells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1"/>
  <sheetViews>
    <sheetView zoomScale="95" zoomScaleNormal="95" workbookViewId="0">
      <selection activeCell="D2" sqref="D2:M2"/>
    </sheetView>
  </sheetViews>
  <sheetFormatPr defaultColWidth="9" defaultRowHeight="17.25"/>
  <cols>
    <col min="1" max="1" width="6.51666666666667" style="24" customWidth="1"/>
    <col min="2" max="2" width="7.875" style="24" customWidth="1"/>
    <col min="3" max="3" width="13.9833333333333" style="24" customWidth="1"/>
    <col min="4" max="4" width="20.5916666666667" style="24" customWidth="1"/>
    <col min="5" max="5" width="11" style="25" customWidth="1"/>
    <col min="6" max="6" width="9.21666666666667" style="25" customWidth="1"/>
    <col min="7" max="7" width="8.625" style="25" customWidth="1"/>
    <col min="8" max="8" width="7.94166666666667" style="25" customWidth="1"/>
    <col min="9" max="9" width="7.54166666666667" style="25" customWidth="1"/>
    <col min="10" max="10" width="10.6" style="25" customWidth="1"/>
    <col min="11" max="11" width="7.95" style="25" customWidth="1"/>
    <col min="12" max="12" width="8.96666666666667" style="25" customWidth="1"/>
    <col min="13" max="13" width="10.1916666666667" style="25" customWidth="1"/>
    <col min="14" max="14" width="9.775" style="24" customWidth="1"/>
    <col min="15" max="15" width="11.4083333333333" style="24" customWidth="1"/>
    <col min="16" max="20" width="12.8333333333333" style="24" hidden="1" customWidth="1"/>
    <col min="21" max="21" width="9.16666666666667" style="24" customWidth="1"/>
    <col min="22" max="22" width="9.78333333333333" style="24" customWidth="1"/>
    <col min="23" max="23" width="7.74166666666667" style="24" customWidth="1"/>
    <col min="24" max="24" width="9.46666666666667" style="24" customWidth="1"/>
    <col min="25" max="25" width="6.51666666666667" style="24" customWidth="1"/>
    <col min="26" max="16362" width="9" style="24"/>
    <col min="16363" max="16384" width="9" style="26"/>
  </cols>
  <sheetData>
    <row r="1" s="23" customFormat="1" ht="45.75" customHeight="1" spans="1:25">
      <c r="A1" s="27" t="s">
        <v>622</v>
      </c>
      <c r="B1" s="27" t="s">
        <v>623</v>
      </c>
      <c r="C1" s="27" t="s">
        <v>1</v>
      </c>
      <c r="D1" s="27" t="s">
        <v>2</v>
      </c>
      <c r="E1" s="35" t="s">
        <v>624</v>
      </c>
      <c r="F1" s="35" t="s">
        <v>625</v>
      </c>
      <c r="G1" s="35" t="s">
        <v>626</v>
      </c>
      <c r="H1" s="35" t="s">
        <v>627</v>
      </c>
      <c r="I1" s="35" t="s">
        <v>628</v>
      </c>
      <c r="J1" s="35" t="s">
        <v>629</v>
      </c>
      <c r="K1" s="35" t="s">
        <v>630</v>
      </c>
      <c r="L1" s="35" t="s">
        <v>631</v>
      </c>
      <c r="M1" s="35" t="s">
        <v>632</v>
      </c>
      <c r="N1" s="35" t="s">
        <v>633</v>
      </c>
      <c r="O1" s="35" t="s">
        <v>634</v>
      </c>
      <c r="P1" s="36" t="s">
        <v>635</v>
      </c>
      <c r="Q1" s="36" t="s">
        <v>636</v>
      </c>
      <c r="R1" s="36" t="s">
        <v>637</v>
      </c>
      <c r="S1" s="36" t="s">
        <v>638</v>
      </c>
      <c r="T1" s="36" t="s">
        <v>639</v>
      </c>
      <c r="U1" s="35" t="s">
        <v>640</v>
      </c>
      <c r="V1" s="35" t="s">
        <v>641</v>
      </c>
      <c r="W1" s="35" t="s">
        <v>642</v>
      </c>
      <c r="X1" s="35" t="s">
        <v>643</v>
      </c>
      <c r="Y1" s="35" t="s">
        <v>644</v>
      </c>
    </row>
    <row r="2" s="24" customFormat="1" ht="45.75" customHeight="1" spans="1:25">
      <c r="A2" s="28" t="s">
        <v>645</v>
      </c>
      <c r="B2" s="24" t="s">
        <v>646</v>
      </c>
      <c r="C2" s="29" t="s">
        <v>647</v>
      </c>
      <c r="D2" s="30" t="s">
        <v>648</v>
      </c>
      <c r="E2" s="25">
        <v>659</v>
      </c>
      <c r="F2" s="25">
        <v>15415</v>
      </c>
      <c r="G2" s="25">
        <v>231</v>
      </c>
      <c r="H2" s="25">
        <v>0</v>
      </c>
      <c r="I2" s="25">
        <v>20</v>
      </c>
      <c r="J2" s="25">
        <v>95149</v>
      </c>
      <c r="K2" s="25">
        <v>1708</v>
      </c>
      <c r="L2" s="25">
        <v>134</v>
      </c>
      <c r="M2" s="37">
        <f>H2*5</f>
        <v>0</v>
      </c>
      <c r="N2" s="37">
        <v>6</v>
      </c>
      <c r="O2" s="37">
        <v>2900</v>
      </c>
      <c r="U2" s="37">
        <v>65</v>
      </c>
      <c r="V2" s="37">
        <v>130606</v>
      </c>
      <c r="W2" s="24">
        <v>11</v>
      </c>
      <c r="X2" s="24">
        <v>24</v>
      </c>
      <c r="Y2" s="24" t="s">
        <v>340</v>
      </c>
    </row>
    <row r="3" s="24" customFormat="1" ht="45.75" customHeight="1" spans="3:25">
      <c r="C3" s="29"/>
      <c r="D3" s="29" t="s">
        <v>649</v>
      </c>
      <c r="E3" s="25">
        <v>45</v>
      </c>
      <c r="F3" s="25">
        <v>332</v>
      </c>
      <c r="G3" s="25">
        <v>6</v>
      </c>
      <c r="H3" s="25">
        <v>0</v>
      </c>
      <c r="I3" s="25">
        <v>1</v>
      </c>
      <c r="J3" s="25">
        <v>11736</v>
      </c>
      <c r="K3" s="25">
        <v>316</v>
      </c>
      <c r="L3" s="25">
        <v>47</v>
      </c>
      <c r="M3" s="37">
        <f t="shared" ref="M3:M11" si="0">H3*5</f>
        <v>0</v>
      </c>
      <c r="N3" s="38"/>
      <c r="O3" s="38"/>
      <c r="U3" s="38"/>
      <c r="V3" s="38"/>
      <c r="W3" s="24" t="s">
        <v>340</v>
      </c>
      <c r="X3" s="24">
        <v>3</v>
      </c>
      <c r="Y3" s="24" t="s">
        <v>340</v>
      </c>
    </row>
    <row r="4" s="24" customFormat="1" ht="45.75" customHeight="1" spans="3:25">
      <c r="C4" s="29"/>
      <c r="D4" s="29" t="s">
        <v>650</v>
      </c>
      <c r="E4" s="25">
        <v>24</v>
      </c>
      <c r="F4" s="25">
        <v>1229</v>
      </c>
      <c r="G4" s="25">
        <v>58</v>
      </c>
      <c r="H4" s="25">
        <v>0</v>
      </c>
      <c r="I4" s="25">
        <v>1</v>
      </c>
      <c r="J4" s="25">
        <v>57559</v>
      </c>
      <c r="K4" s="25">
        <v>426</v>
      </c>
      <c r="L4" s="25">
        <v>14</v>
      </c>
      <c r="M4" s="37">
        <f t="shared" si="0"/>
        <v>0</v>
      </c>
      <c r="N4" s="38"/>
      <c r="O4" s="38"/>
      <c r="U4" s="38"/>
      <c r="V4" s="38"/>
      <c r="W4" s="24">
        <v>16</v>
      </c>
      <c r="X4" s="24" t="s">
        <v>340</v>
      </c>
      <c r="Y4" s="24" t="s">
        <v>340</v>
      </c>
    </row>
    <row r="5" s="24" customFormat="1" ht="45.75" customHeight="1" spans="3:25">
      <c r="C5" s="29"/>
      <c r="D5" s="29" t="s">
        <v>651</v>
      </c>
      <c r="E5" s="25">
        <v>19</v>
      </c>
      <c r="F5" s="25">
        <v>125</v>
      </c>
      <c r="G5" s="25">
        <v>4</v>
      </c>
      <c r="H5" s="25">
        <v>0</v>
      </c>
      <c r="I5" s="25">
        <v>1</v>
      </c>
      <c r="J5" s="25">
        <v>33593</v>
      </c>
      <c r="K5" s="25">
        <v>734</v>
      </c>
      <c r="L5" s="25">
        <v>98</v>
      </c>
      <c r="M5" s="37">
        <f t="shared" si="0"/>
        <v>0</v>
      </c>
      <c r="N5" s="38"/>
      <c r="O5" s="38"/>
      <c r="U5" s="38"/>
      <c r="V5" s="38"/>
      <c r="W5" s="24">
        <v>1</v>
      </c>
      <c r="X5" s="24">
        <v>2</v>
      </c>
      <c r="Y5" s="24" t="s">
        <v>340</v>
      </c>
    </row>
    <row r="6" s="24" customFormat="1" ht="45.75" customHeight="1" spans="3:25">
      <c r="C6" s="29" t="s">
        <v>652</v>
      </c>
      <c r="D6" s="30" t="s">
        <v>653</v>
      </c>
      <c r="E6" s="25">
        <v>3</v>
      </c>
      <c r="F6" s="25">
        <v>160</v>
      </c>
      <c r="G6" s="25">
        <v>6</v>
      </c>
      <c r="H6" s="25">
        <v>0</v>
      </c>
      <c r="I6" s="25">
        <v>0</v>
      </c>
      <c r="J6" s="25">
        <v>134015</v>
      </c>
      <c r="K6" s="25">
        <v>1351</v>
      </c>
      <c r="L6" s="25">
        <v>148</v>
      </c>
      <c r="M6" s="37">
        <f t="shared" si="0"/>
        <v>0</v>
      </c>
      <c r="N6" s="38"/>
      <c r="O6" s="38"/>
      <c r="U6" s="38"/>
      <c r="V6" s="38"/>
      <c r="W6" s="24">
        <v>3</v>
      </c>
      <c r="X6" s="24" t="s">
        <v>340</v>
      </c>
      <c r="Y6" s="24" t="s">
        <v>340</v>
      </c>
    </row>
    <row r="7" s="24" customFormat="1" ht="45.75" customHeight="1" spans="3:25">
      <c r="C7" s="31"/>
      <c r="D7" s="29" t="s">
        <v>654</v>
      </c>
      <c r="E7" s="25">
        <v>14</v>
      </c>
      <c r="F7" s="25">
        <v>928</v>
      </c>
      <c r="G7" s="25">
        <v>23</v>
      </c>
      <c r="H7" s="25">
        <v>0</v>
      </c>
      <c r="I7" s="25">
        <v>0</v>
      </c>
      <c r="J7" s="25">
        <v>72143</v>
      </c>
      <c r="K7" s="25">
        <v>857</v>
      </c>
      <c r="L7" s="25">
        <v>51</v>
      </c>
      <c r="M7" s="37">
        <f t="shared" si="0"/>
        <v>0</v>
      </c>
      <c r="N7" s="38"/>
      <c r="O7" s="38"/>
      <c r="U7" s="38"/>
      <c r="V7" s="38"/>
      <c r="W7" s="24">
        <v>4</v>
      </c>
      <c r="X7" s="24" t="s">
        <v>340</v>
      </c>
      <c r="Y7" s="24" t="s">
        <v>340</v>
      </c>
    </row>
    <row r="8" s="24" customFormat="1" ht="45.75" customHeight="1" spans="3:25">
      <c r="C8" s="29" t="s">
        <v>655</v>
      </c>
      <c r="D8" s="30" t="s">
        <v>656</v>
      </c>
      <c r="E8" s="25">
        <v>12</v>
      </c>
      <c r="F8" s="25">
        <v>214</v>
      </c>
      <c r="G8" s="25">
        <v>3</v>
      </c>
      <c r="H8" s="25">
        <v>0</v>
      </c>
      <c r="I8" s="25">
        <v>1</v>
      </c>
      <c r="J8" s="25">
        <v>55056</v>
      </c>
      <c r="K8" s="25">
        <v>1238</v>
      </c>
      <c r="L8" s="25">
        <v>152</v>
      </c>
      <c r="M8" s="37">
        <f t="shared" si="0"/>
        <v>0</v>
      </c>
      <c r="N8" s="38"/>
      <c r="O8" s="38"/>
      <c r="U8" s="38"/>
      <c r="V8" s="38"/>
      <c r="W8" s="24">
        <v>4</v>
      </c>
      <c r="X8" s="24" t="s">
        <v>340</v>
      </c>
      <c r="Y8" s="24" t="s">
        <v>340</v>
      </c>
    </row>
    <row r="9" s="24" customFormat="1" ht="45.75" customHeight="1" spans="3:25">
      <c r="C9" s="31"/>
      <c r="D9" s="30" t="s">
        <v>657</v>
      </c>
      <c r="E9" s="25">
        <v>4</v>
      </c>
      <c r="F9" s="25">
        <v>148</v>
      </c>
      <c r="G9" s="25">
        <v>2</v>
      </c>
      <c r="H9" s="25">
        <v>0</v>
      </c>
      <c r="I9" s="25">
        <v>0</v>
      </c>
      <c r="J9" s="25">
        <v>93552</v>
      </c>
      <c r="K9" s="25">
        <v>1953</v>
      </c>
      <c r="L9" s="25">
        <v>185</v>
      </c>
      <c r="M9" s="37">
        <f t="shared" si="0"/>
        <v>0</v>
      </c>
      <c r="N9" s="38"/>
      <c r="O9" s="38"/>
      <c r="U9" s="38"/>
      <c r="V9" s="38"/>
      <c r="W9" s="24">
        <v>2</v>
      </c>
      <c r="X9" s="24" t="s">
        <v>340</v>
      </c>
      <c r="Y9" s="24" t="s">
        <v>340</v>
      </c>
    </row>
    <row r="10" s="24" customFormat="1" ht="45.75" customHeight="1" spans="3:25">
      <c r="C10" s="29" t="s">
        <v>658</v>
      </c>
      <c r="D10" s="29" t="s">
        <v>659</v>
      </c>
      <c r="E10" s="25">
        <v>2</v>
      </c>
      <c r="F10" s="25">
        <v>3</v>
      </c>
      <c r="G10" s="25">
        <v>0</v>
      </c>
      <c r="H10" s="25">
        <v>0</v>
      </c>
      <c r="I10" s="25">
        <v>0</v>
      </c>
      <c r="J10" s="25">
        <v>34617</v>
      </c>
      <c r="K10" s="25">
        <v>916</v>
      </c>
      <c r="L10" s="25">
        <v>81</v>
      </c>
      <c r="M10" s="37">
        <f t="shared" si="0"/>
        <v>0</v>
      </c>
      <c r="N10" s="39"/>
      <c r="O10" s="39"/>
      <c r="U10" s="39"/>
      <c r="V10" s="39"/>
      <c r="W10" s="24">
        <v>3</v>
      </c>
      <c r="X10" s="24" t="s">
        <v>340</v>
      </c>
      <c r="Y10" s="24" t="s">
        <v>340</v>
      </c>
    </row>
    <row r="11" spans="1:25">
      <c r="A11" s="32" t="s">
        <v>660</v>
      </c>
      <c r="B11" s="33"/>
      <c r="C11" s="33"/>
      <c r="D11" s="34"/>
      <c r="E11" s="25">
        <f>SUM(E2:E10)</f>
        <v>782</v>
      </c>
      <c r="F11" s="25">
        <f t="shared" ref="F11:M11" si="1">SUM(F2:F10)</f>
        <v>18554</v>
      </c>
      <c r="G11" s="25">
        <f t="shared" si="1"/>
        <v>333</v>
      </c>
      <c r="H11" s="25">
        <f t="shared" si="1"/>
        <v>0</v>
      </c>
      <c r="I11" s="25">
        <f t="shared" si="1"/>
        <v>24</v>
      </c>
      <c r="J11" s="25">
        <f t="shared" si="1"/>
        <v>587420</v>
      </c>
      <c r="K11" s="25">
        <f t="shared" si="1"/>
        <v>9499</v>
      </c>
      <c r="L11" s="25">
        <f t="shared" si="1"/>
        <v>910</v>
      </c>
      <c r="M11" s="37">
        <f t="shared" si="1"/>
        <v>0</v>
      </c>
      <c r="N11" s="25">
        <f t="shared" ref="N11:Z11" si="2">SUM(N2:N10)</f>
        <v>6</v>
      </c>
      <c r="O11" s="25">
        <f t="shared" si="2"/>
        <v>2900</v>
      </c>
      <c r="P11" s="25">
        <f t="shared" si="2"/>
        <v>0</v>
      </c>
      <c r="Q11" s="25">
        <f t="shared" si="2"/>
        <v>0</v>
      </c>
      <c r="R11" s="25">
        <f t="shared" si="2"/>
        <v>0</v>
      </c>
      <c r="S11" s="25">
        <f t="shared" si="2"/>
        <v>0</v>
      </c>
      <c r="T11" s="25">
        <f t="shared" si="2"/>
        <v>0</v>
      </c>
      <c r="U11" s="25">
        <f t="shared" si="2"/>
        <v>65</v>
      </c>
      <c r="V11" s="25">
        <f t="shared" si="2"/>
        <v>130606</v>
      </c>
      <c r="W11" s="25">
        <f t="shared" si="2"/>
        <v>44</v>
      </c>
      <c r="X11" s="25">
        <f t="shared" si="2"/>
        <v>29</v>
      </c>
      <c r="Y11" s="25">
        <f t="shared" si="2"/>
        <v>0</v>
      </c>
    </row>
  </sheetData>
  <sheetProtection formatCells="0" insertHyperlinks="0" autoFilter="0"/>
  <mergeCells count="10">
    <mergeCell ref="A11:D11"/>
    <mergeCell ref="A2:A10"/>
    <mergeCell ref="B2:B10"/>
    <mergeCell ref="C2:C5"/>
    <mergeCell ref="C6:C7"/>
    <mergeCell ref="C8:C9"/>
    <mergeCell ref="N2:N10"/>
    <mergeCell ref="O2:O10"/>
    <mergeCell ref="U2:U10"/>
    <mergeCell ref="V2:V10"/>
  </mergeCells>
  <conditionalFormatting sqref="I2:I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{de606ba3-9106-4372-b852-dbce6b740786}</x14:id>
        </ext>
      </extLst>
    </cfRule>
  </conditionalFormatting>
  <conditionalFormatting sqref="J2:J10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{d4329aea-2438-4bc2-abf0-16bf49937e1b}</x14:id>
        </ext>
      </extLst>
    </cfRule>
  </conditionalFormatting>
  <conditionalFormatting sqref="K2:K1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{96f6c483-1008-4255-9da7-3d54f9264d6d}</x14:id>
        </ext>
      </extLst>
    </cfRule>
  </conditionalFormatting>
  <conditionalFormatting sqref="L2:L1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{f2698032-d103-40d1-9b78-c97bab1c5f11}</x14:id>
        </ext>
      </extLst>
    </cfRule>
  </conditionalFormatting>
  <pageMargins left="0.75" right="0.75" top="1" bottom="1" header="0.511805555555556" footer="0.511805555555556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e606ba3-9106-4372-b852-dbce6b7407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I2:I10</xm:sqref>
        </x14:conditionalFormatting>
        <x14:conditionalFormatting xmlns:xm="http://schemas.microsoft.com/office/excel/2006/main">
          <x14:cfRule type="dataBar" id="{d4329aea-2438-4bc2-abf0-16bf49937e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J2:J10</xm:sqref>
        </x14:conditionalFormatting>
        <x14:conditionalFormatting xmlns:xm="http://schemas.microsoft.com/office/excel/2006/main">
          <x14:cfRule type="dataBar" id="{96f6c483-1008-4255-9da7-3d54f9264d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K2:K10</xm:sqref>
        </x14:conditionalFormatting>
        <x14:conditionalFormatting xmlns:xm="http://schemas.microsoft.com/office/excel/2006/main">
          <x14:cfRule type="dataBar" id="{f2698032-d103-40d1-9b78-c97bab1c5f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L2:L10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"/>
  <sheetViews>
    <sheetView tabSelected="1" workbookViewId="0">
      <selection activeCell="K4" sqref="K4"/>
    </sheetView>
  </sheetViews>
  <sheetFormatPr defaultColWidth="8.8" defaultRowHeight="14.25"/>
  <cols>
    <col min="1" max="1" width="16.8" customWidth="1"/>
    <col min="2" max="2" width="8.9" customWidth="1"/>
    <col min="3" max="3" width="22.2" customWidth="1"/>
    <col min="4" max="4" width="27.5" customWidth="1"/>
    <col min="5" max="6" width="16.8" customWidth="1"/>
    <col min="7" max="7" width="8.9" customWidth="1"/>
    <col min="8" max="8" width="16.8" customWidth="1"/>
    <col min="9" max="10" width="6.5" customWidth="1"/>
  </cols>
  <sheetData>
    <row r="1" spans="1:10">
      <c r="A1" s="16" t="s">
        <v>661</v>
      </c>
      <c r="B1" s="17" t="s">
        <v>662</v>
      </c>
      <c r="C1" s="17" t="s">
        <v>663</v>
      </c>
      <c r="D1" s="17" t="s">
        <v>664</v>
      </c>
      <c r="E1" s="20" t="s">
        <v>665</v>
      </c>
      <c r="F1" s="20" t="s">
        <v>666</v>
      </c>
      <c r="G1" s="20" t="s">
        <v>667</v>
      </c>
      <c r="H1" s="20" t="s">
        <v>668</v>
      </c>
      <c r="I1" s="20" t="s">
        <v>669</v>
      </c>
      <c r="J1" s="21" t="s">
        <v>670</v>
      </c>
    </row>
    <row r="2" spans="1:10">
      <c r="A2" s="18"/>
      <c r="B2" s="19"/>
      <c r="C2" s="19"/>
      <c r="D2" s="19"/>
      <c r="E2" s="19"/>
      <c r="F2" s="19"/>
      <c r="G2" s="19"/>
      <c r="H2" s="19"/>
      <c r="I2" s="19"/>
      <c r="J2" s="22"/>
    </row>
    <row r="3" spans="1:10">
      <c r="A3" s="18"/>
      <c r="B3" s="19"/>
      <c r="C3" s="19"/>
      <c r="D3" s="19"/>
      <c r="E3" s="19"/>
      <c r="F3" s="19"/>
      <c r="G3" s="19"/>
      <c r="H3" s="19"/>
      <c r="I3" s="19"/>
      <c r="J3" s="22"/>
    </row>
    <row r="4" spans="1:10">
      <c r="A4" s="18"/>
      <c r="B4" s="19"/>
      <c r="C4" s="19"/>
      <c r="D4" s="19"/>
      <c r="E4" s="19"/>
      <c r="F4" s="19"/>
      <c r="G4" s="19"/>
      <c r="H4" s="19"/>
      <c r="I4" s="19"/>
      <c r="J4" s="22"/>
    </row>
    <row r="5" spans="1:10">
      <c r="A5" s="18"/>
      <c r="B5" s="19"/>
      <c r="C5" s="19"/>
      <c r="D5" s="19"/>
      <c r="E5" s="19"/>
      <c r="F5" s="19"/>
      <c r="G5" s="19"/>
      <c r="H5" s="19"/>
      <c r="I5" s="19"/>
      <c r="J5" s="22"/>
    </row>
    <row r="6" spans="1:10">
      <c r="A6" s="18"/>
      <c r="B6" s="19"/>
      <c r="C6" s="19"/>
      <c r="D6" s="19"/>
      <c r="E6" s="19"/>
      <c r="F6" s="19"/>
      <c r="G6" s="19"/>
      <c r="H6" s="19"/>
      <c r="I6" s="19"/>
      <c r="J6" s="22"/>
    </row>
    <row r="7" spans="1:10">
      <c r="A7" s="18"/>
      <c r="B7" s="19"/>
      <c r="C7" s="19"/>
      <c r="D7" s="19"/>
      <c r="E7" s="19"/>
      <c r="F7" s="19"/>
      <c r="G7" s="19"/>
      <c r="H7" s="19"/>
      <c r="I7" s="19"/>
      <c r="J7" s="22"/>
    </row>
    <row r="8" spans="1:10">
      <c r="A8" s="18"/>
      <c r="B8" s="19"/>
      <c r="C8" s="19"/>
      <c r="D8" s="19"/>
      <c r="E8" s="19"/>
      <c r="F8" s="19"/>
      <c r="G8" s="19"/>
      <c r="H8" s="19"/>
      <c r="I8" s="19"/>
      <c r="J8" s="22"/>
    </row>
    <row r="9" spans="1:10">
      <c r="A9" s="18"/>
      <c r="B9" s="19"/>
      <c r="C9" s="19"/>
      <c r="D9" s="19"/>
      <c r="E9" s="19"/>
      <c r="F9" s="19"/>
      <c r="G9" s="19"/>
      <c r="H9" s="19"/>
      <c r="I9" s="19"/>
      <c r="J9" s="22"/>
    </row>
    <row r="10" spans="1:10">
      <c r="A10" s="18"/>
      <c r="B10" s="19"/>
      <c r="C10" s="19"/>
      <c r="D10" s="19"/>
      <c r="E10" s="19"/>
      <c r="F10" s="19"/>
      <c r="G10" s="19"/>
      <c r="H10" s="19"/>
      <c r="I10" s="19"/>
      <c r="J10" s="22"/>
    </row>
    <row r="11" spans="1:10">
      <c r="A11" s="18"/>
      <c r="B11" s="19"/>
      <c r="C11" s="19"/>
      <c r="D11" s="19"/>
      <c r="E11" s="19"/>
      <c r="F11" s="19"/>
      <c r="G11" s="19"/>
      <c r="H11" s="19"/>
      <c r="I11" s="19"/>
      <c r="J11" s="22"/>
    </row>
    <row r="12" spans="1:10">
      <c r="A12" s="18"/>
      <c r="B12" s="19"/>
      <c r="C12" s="19"/>
      <c r="D12" s="19"/>
      <c r="E12" s="19"/>
      <c r="F12" s="19"/>
      <c r="G12" s="19"/>
      <c r="H12" s="19"/>
      <c r="I12" s="19"/>
      <c r="J12" s="22"/>
    </row>
    <row r="13" spans="1:10">
      <c r="A13" s="18"/>
      <c r="B13" s="19"/>
      <c r="C13" s="19"/>
      <c r="D13" s="19"/>
      <c r="E13" s="19"/>
      <c r="F13" s="19"/>
      <c r="G13" s="19"/>
      <c r="H13" s="19"/>
      <c r="I13" s="19"/>
      <c r="J13" s="22"/>
    </row>
    <row r="14" spans="1:10">
      <c r="A14" s="18"/>
      <c r="B14" s="19"/>
      <c r="C14" s="19"/>
      <c r="D14" s="19"/>
      <c r="E14" s="19"/>
      <c r="F14" s="19"/>
      <c r="G14" s="19"/>
      <c r="H14" s="19"/>
      <c r="I14" s="19"/>
      <c r="J14" s="22"/>
    </row>
    <row r="15" spans="1:10">
      <c r="A15" s="18"/>
      <c r="B15" s="19"/>
      <c r="C15" s="19"/>
      <c r="D15" s="19"/>
      <c r="E15" s="19"/>
      <c r="F15" s="19"/>
      <c r="G15" s="19"/>
      <c r="H15" s="19"/>
      <c r="I15" s="19"/>
      <c r="J15" s="22"/>
    </row>
    <row r="16" spans="1:10">
      <c r="A16" s="18"/>
      <c r="B16" s="19"/>
      <c r="C16" s="19"/>
      <c r="D16" s="19"/>
      <c r="E16" s="19"/>
      <c r="F16" s="19"/>
      <c r="G16" s="19"/>
      <c r="H16" s="19"/>
      <c r="I16" s="19"/>
      <c r="J16" s="22"/>
    </row>
    <row r="17" spans="1:10">
      <c r="A17" s="18"/>
      <c r="B17" s="19"/>
      <c r="C17" s="19"/>
      <c r="D17" s="19"/>
      <c r="E17" s="19"/>
      <c r="F17" s="19"/>
      <c r="G17" s="19"/>
      <c r="H17" s="19"/>
      <c r="I17" s="19"/>
      <c r="J17" s="22"/>
    </row>
    <row r="18" spans="1:10">
      <c r="A18" s="18"/>
      <c r="B18" s="19"/>
      <c r="C18" s="19"/>
      <c r="D18" s="19"/>
      <c r="E18" s="19"/>
      <c r="F18" s="19"/>
      <c r="G18" s="19"/>
      <c r="H18" s="19"/>
      <c r="I18" s="19"/>
      <c r="J18" s="22"/>
    </row>
    <row r="19" spans="1:10">
      <c r="A19" s="18"/>
      <c r="B19" s="19"/>
      <c r="C19" s="19"/>
      <c r="D19" s="19"/>
      <c r="E19" s="19"/>
      <c r="F19" s="19"/>
      <c r="G19" s="19"/>
      <c r="H19" s="19"/>
      <c r="I19" s="19"/>
      <c r="J19" s="22"/>
    </row>
    <row r="20" spans="1:10">
      <c r="A20" s="18"/>
      <c r="B20" s="19"/>
      <c r="C20" s="19"/>
      <c r="D20" s="19"/>
      <c r="E20" s="19"/>
      <c r="F20" s="19"/>
      <c r="G20" s="19"/>
      <c r="H20" s="19"/>
      <c r="I20" s="19"/>
      <c r="J20" s="22"/>
    </row>
    <row r="21" spans="1:10">
      <c r="A21" s="18"/>
      <c r="B21" s="19"/>
      <c r="C21" s="19"/>
      <c r="D21" s="19"/>
      <c r="E21" s="19"/>
      <c r="F21" s="19"/>
      <c r="G21" s="19"/>
      <c r="H21" s="19"/>
      <c r="I21" s="19"/>
      <c r="J21" s="22"/>
    </row>
    <row r="22" spans="1:10">
      <c r="A22" s="18"/>
      <c r="B22" s="19"/>
      <c r="C22" s="19"/>
      <c r="D22" s="19"/>
      <c r="E22" s="19"/>
      <c r="F22" s="19"/>
      <c r="G22" s="19"/>
      <c r="H22" s="19"/>
      <c r="I22" s="19"/>
      <c r="J22" s="22"/>
    </row>
    <row r="23" spans="1:10">
      <c r="A23" s="18"/>
      <c r="B23" s="19"/>
      <c r="C23" s="19"/>
      <c r="D23" s="19"/>
      <c r="E23" s="19"/>
      <c r="F23" s="19"/>
      <c r="G23" s="19"/>
      <c r="H23" s="19"/>
      <c r="I23" s="19"/>
      <c r="J23" s="22"/>
    </row>
    <row r="24" spans="1:10">
      <c r="A24" s="18"/>
      <c r="B24" s="19"/>
      <c r="C24" s="19"/>
      <c r="D24" s="19"/>
      <c r="E24" s="19"/>
      <c r="F24" s="19"/>
      <c r="G24" s="19"/>
      <c r="H24" s="19"/>
      <c r="I24" s="19"/>
      <c r="J24" s="22"/>
    </row>
    <row r="25" spans="1:10">
      <c r="A25" s="18"/>
      <c r="B25" s="19"/>
      <c r="C25" s="19"/>
      <c r="D25" s="19"/>
      <c r="E25" s="19"/>
      <c r="F25" s="19"/>
      <c r="G25" s="19"/>
      <c r="H25" s="19"/>
      <c r="I25" s="19"/>
      <c r="J25" s="22"/>
    </row>
    <row r="26" spans="1:10">
      <c r="A26" s="18"/>
      <c r="B26" s="19"/>
      <c r="C26" s="19"/>
      <c r="D26" s="19"/>
      <c r="E26" s="19"/>
      <c r="F26" s="19"/>
      <c r="G26" s="19"/>
      <c r="H26" s="19"/>
      <c r="I26" s="19"/>
      <c r="J26" s="22"/>
    </row>
    <row r="27" spans="1:10">
      <c r="A27" s="18"/>
      <c r="B27" s="19"/>
      <c r="C27" s="19"/>
      <c r="D27" s="19"/>
      <c r="E27" s="19"/>
      <c r="F27" s="19"/>
      <c r="G27" s="19"/>
      <c r="H27" s="19"/>
      <c r="I27" s="19"/>
      <c r="J27" s="22"/>
    </row>
    <row r="28" spans="1:10">
      <c r="A28" s="18"/>
      <c r="B28" s="19"/>
      <c r="C28" s="19"/>
      <c r="D28" s="19"/>
      <c r="E28" s="19"/>
      <c r="F28" s="19"/>
      <c r="G28" s="19"/>
      <c r="H28" s="19"/>
      <c r="I28" s="19"/>
      <c r="J28" s="22"/>
    </row>
  </sheetData>
  <sheetProtection formatCells="0" insertHyperlinks="0" autoFilter="0"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1"/>
  <sheetViews>
    <sheetView zoomScale="70" zoomScaleNormal="70" workbookViewId="0">
      <selection activeCell="C24" sqref="C24"/>
    </sheetView>
  </sheetViews>
  <sheetFormatPr defaultColWidth="9.14166666666667" defaultRowHeight="14.25"/>
  <cols>
    <col min="1" max="1" width="54.4666666666667" customWidth="1"/>
    <col min="2" max="2" width="31.3916666666667" customWidth="1"/>
    <col min="3" max="3" width="24.925" customWidth="1"/>
    <col min="4" max="5" width="8.03333333333333" customWidth="1"/>
    <col min="6" max="7" width="7.675" customWidth="1"/>
    <col min="8" max="8" width="20.5333333333333" customWidth="1"/>
    <col min="9" max="9" width="15.3583333333333" customWidth="1"/>
    <col min="10" max="10" width="18.0333333333333" customWidth="1"/>
    <col min="11" max="11" width="7.675" customWidth="1"/>
    <col min="12" max="12" width="13.75" customWidth="1"/>
    <col min="13" max="13" width="9.10833333333333" customWidth="1"/>
  </cols>
  <sheetData>
    <row r="1" ht="28" customHeight="1" spans="1:25">
      <c r="A1" s="1" t="s">
        <v>671</v>
      </c>
      <c r="B1" s="2"/>
      <c r="C1" s="3" t="s">
        <v>90</v>
      </c>
      <c r="D1" s="3" t="s">
        <v>672</v>
      </c>
      <c r="E1" s="3" t="s">
        <v>673</v>
      </c>
      <c r="F1" s="3" t="s">
        <v>674</v>
      </c>
      <c r="G1" s="3" t="s">
        <v>674</v>
      </c>
      <c r="H1" s="3" t="s">
        <v>675</v>
      </c>
      <c r="I1" s="3" t="s">
        <v>676</v>
      </c>
      <c r="J1" s="3" t="s">
        <v>677</v>
      </c>
      <c r="K1" s="3" t="s">
        <v>678</v>
      </c>
      <c r="L1" s="3" t="s">
        <v>679</v>
      </c>
      <c r="M1" s="3" t="s">
        <v>680</v>
      </c>
      <c r="N1" s="13"/>
      <c r="O1" s="3" t="s">
        <v>90</v>
      </c>
      <c r="P1" s="3" t="s">
        <v>672</v>
      </c>
      <c r="Q1" s="3" t="s">
        <v>673</v>
      </c>
      <c r="R1" s="3" t="s">
        <v>674</v>
      </c>
      <c r="S1" s="3" t="s">
        <v>674</v>
      </c>
      <c r="T1" s="3" t="s">
        <v>675</v>
      </c>
      <c r="U1" s="3" t="s">
        <v>676</v>
      </c>
      <c r="V1" s="3" t="s">
        <v>677</v>
      </c>
      <c r="W1" s="3" t="s">
        <v>678</v>
      </c>
      <c r="X1" s="3" t="s">
        <v>679</v>
      </c>
      <c r="Y1" s="3" t="s">
        <v>680</v>
      </c>
    </row>
    <row r="2" ht="31.5" spans="1:25">
      <c r="A2" s="1"/>
      <c r="B2" s="4"/>
      <c r="C2" s="3"/>
      <c r="D2" s="3" t="s">
        <v>681</v>
      </c>
      <c r="E2" s="3" t="s">
        <v>682</v>
      </c>
      <c r="F2" s="3" t="s">
        <v>683</v>
      </c>
      <c r="G2" s="3" t="s">
        <v>684</v>
      </c>
      <c r="H2" s="3"/>
      <c r="I2" s="3"/>
      <c r="J2" s="3"/>
      <c r="K2" s="3" t="s">
        <v>685</v>
      </c>
      <c r="L2" s="3"/>
      <c r="M2" s="3"/>
      <c r="N2" s="13"/>
      <c r="O2" s="3"/>
      <c r="P2" s="3" t="s">
        <v>681</v>
      </c>
      <c r="Q2" s="3" t="s">
        <v>682</v>
      </c>
      <c r="R2" s="3" t="s">
        <v>683</v>
      </c>
      <c r="S2" s="3" t="s">
        <v>684</v>
      </c>
      <c r="T2" s="3"/>
      <c r="U2" s="3"/>
      <c r="V2" s="3"/>
      <c r="W2" s="3" t="s">
        <v>685</v>
      </c>
      <c r="X2" s="3"/>
      <c r="Y2" s="3"/>
    </row>
    <row r="3" ht="42.75" spans="1:25">
      <c r="A3" s="1"/>
      <c r="B3" s="4"/>
      <c r="C3" s="5" t="s">
        <v>686</v>
      </c>
      <c r="D3" s="6">
        <v>9959</v>
      </c>
      <c r="E3" s="6">
        <v>870</v>
      </c>
      <c r="F3" s="6">
        <v>0</v>
      </c>
      <c r="G3" s="6">
        <v>0</v>
      </c>
      <c r="H3" s="6">
        <v>838</v>
      </c>
      <c r="I3" s="6">
        <v>23</v>
      </c>
      <c r="J3" s="6">
        <v>18</v>
      </c>
      <c r="K3" s="6">
        <v>1</v>
      </c>
      <c r="L3" s="10">
        <v>0.0406</v>
      </c>
      <c r="M3" s="9" t="s">
        <v>687</v>
      </c>
      <c r="N3" s="13"/>
      <c r="O3" s="5" t="s">
        <v>686</v>
      </c>
      <c r="P3" s="6">
        <v>9959</v>
      </c>
      <c r="Q3" s="6">
        <v>870</v>
      </c>
      <c r="R3" s="6">
        <v>0</v>
      </c>
      <c r="S3" s="6">
        <v>0</v>
      </c>
      <c r="T3" s="6">
        <v>838</v>
      </c>
      <c r="U3" s="6">
        <v>23</v>
      </c>
      <c r="V3" s="6">
        <v>18</v>
      </c>
      <c r="W3" s="6">
        <v>1</v>
      </c>
      <c r="X3" s="10">
        <v>0.0406</v>
      </c>
      <c r="Y3" s="9" t="s">
        <v>687</v>
      </c>
    </row>
    <row r="4" ht="42.75" spans="1:25">
      <c r="A4" s="1"/>
      <c r="B4" s="4"/>
      <c r="C4" s="5" t="s">
        <v>688</v>
      </c>
      <c r="D4" s="6">
        <v>1273</v>
      </c>
      <c r="E4" s="6">
        <v>41</v>
      </c>
      <c r="F4" s="6">
        <v>0</v>
      </c>
      <c r="G4" s="6">
        <v>0</v>
      </c>
      <c r="H4" s="6">
        <v>39</v>
      </c>
      <c r="I4" s="6">
        <v>1</v>
      </c>
      <c r="J4" s="6">
        <v>1</v>
      </c>
      <c r="K4" s="6">
        <v>0</v>
      </c>
      <c r="L4" s="10">
        <v>0.0513</v>
      </c>
      <c r="M4" s="9" t="s">
        <v>687</v>
      </c>
      <c r="N4" s="13"/>
      <c r="O4" s="5" t="s">
        <v>688</v>
      </c>
      <c r="P4" s="6">
        <v>1273</v>
      </c>
      <c r="Q4" s="6">
        <v>41</v>
      </c>
      <c r="R4" s="6">
        <v>0</v>
      </c>
      <c r="S4" s="6">
        <v>0</v>
      </c>
      <c r="T4" s="6">
        <v>39</v>
      </c>
      <c r="U4" s="6">
        <v>1</v>
      </c>
      <c r="V4" s="6">
        <v>1</v>
      </c>
      <c r="W4" s="6">
        <v>0</v>
      </c>
      <c r="X4" s="10">
        <v>0.0513</v>
      </c>
      <c r="Y4" s="9" t="s">
        <v>687</v>
      </c>
    </row>
    <row r="5" ht="42.75" spans="1:25">
      <c r="A5" s="1"/>
      <c r="B5" s="4"/>
      <c r="C5" s="5" t="s">
        <v>689</v>
      </c>
      <c r="D5" s="6">
        <v>435</v>
      </c>
      <c r="E5" s="6">
        <v>40</v>
      </c>
      <c r="F5" s="6">
        <v>0</v>
      </c>
      <c r="G5" s="6">
        <v>0</v>
      </c>
      <c r="H5" s="6">
        <v>31</v>
      </c>
      <c r="I5" s="6">
        <v>1</v>
      </c>
      <c r="J5" s="6">
        <v>0</v>
      </c>
      <c r="K5" s="6">
        <v>0</v>
      </c>
      <c r="L5" s="10">
        <v>0.0323</v>
      </c>
      <c r="M5" s="9" t="s">
        <v>687</v>
      </c>
      <c r="N5" s="13"/>
      <c r="O5" s="5" t="s">
        <v>689</v>
      </c>
      <c r="P5" s="6">
        <v>435</v>
      </c>
      <c r="Q5" s="6">
        <v>40</v>
      </c>
      <c r="R5" s="6">
        <v>0</v>
      </c>
      <c r="S5" s="6">
        <v>0</v>
      </c>
      <c r="T5" s="6">
        <v>31</v>
      </c>
      <c r="U5" s="6">
        <v>1</v>
      </c>
      <c r="V5" s="6">
        <v>0</v>
      </c>
      <c r="W5" s="6">
        <v>0</v>
      </c>
      <c r="X5" s="10">
        <v>0.0323</v>
      </c>
      <c r="Y5" s="9" t="s">
        <v>687</v>
      </c>
    </row>
    <row r="6" ht="42.75" spans="1:25">
      <c r="A6" s="1"/>
      <c r="B6" s="4"/>
      <c r="C6" s="5" t="s">
        <v>690</v>
      </c>
      <c r="D6" s="6">
        <v>223</v>
      </c>
      <c r="E6" s="6">
        <v>4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11">
        <v>0</v>
      </c>
      <c r="M6" s="9" t="s">
        <v>687</v>
      </c>
      <c r="N6" s="13"/>
      <c r="O6" s="5" t="s">
        <v>690</v>
      </c>
      <c r="P6" s="6">
        <v>223</v>
      </c>
      <c r="Q6" s="6">
        <v>4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11">
        <v>0</v>
      </c>
      <c r="Y6" s="9" t="s">
        <v>687</v>
      </c>
    </row>
    <row r="7" ht="42.75" spans="1:25">
      <c r="A7" s="1"/>
      <c r="B7" s="4"/>
      <c r="C7" s="5" t="s">
        <v>691</v>
      </c>
      <c r="D7" s="7">
        <v>202</v>
      </c>
      <c r="E7" s="7">
        <v>20</v>
      </c>
      <c r="F7" s="7">
        <v>0</v>
      </c>
      <c r="G7" s="7">
        <v>0</v>
      </c>
      <c r="H7" s="7">
        <v>19</v>
      </c>
      <c r="I7" s="7">
        <v>1</v>
      </c>
      <c r="J7" s="7">
        <v>0</v>
      </c>
      <c r="K7" s="7">
        <v>0</v>
      </c>
      <c r="L7" s="12">
        <v>0.0526</v>
      </c>
      <c r="M7" s="14" t="s">
        <v>687</v>
      </c>
      <c r="N7" s="13"/>
      <c r="O7" s="5" t="s">
        <v>691</v>
      </c>
      <c r="P7" s="7">
        <v>202</v>
      </c>
      <c r="Q7" s="7">
        <v>20</v>
      </c>
      <c r="R7" s="7">
        <v>0</v>
      </c>
      <c r="S7" s="7">
        <v>0</v>
      </c>
      <c r="T7" s="7">
        <v>19</v>
      </c>
      <c r="U7" s="7">
        <v>1</v>
      </c>
      <c r="V7" s="7">
        <v>0</v>
      </c>
      <c r="W7" s="7">
        <v>0</v>
      </c>
      <c r="X7" s="12">
        <v>0.0526</v>
      </c>
      <c r="Y7" s="14" t="s">
        <v>687</v>
      </c>
    </row>
    <row r="8" ht="42.75" spans="1:25">
      <c r="A8" s="1"/>
      <c r="B8" s="4"/>
      <c r="C8" s="5" t="s">
        <v>692</v>
      </c>
      <c r="D8" s="6">
        <v>188</v>
      </c>
      <c r="E8" s="6">
        <v>13</v>
      </c>
      <c r="F8" s="6">
        <v>0</v>
      </c>
      <c r="G8" s="6">
        <v>0</v>
      </c>
      <c r="H8" s="6">
        <v>12</v>
      </c>
      <c r="I8" s="6">
        <v>0</v>
      </c>
      <c r="J8" s="6">
        <v>0</v>
      </c>
      <c r="K8" s="6">
        <v>0</v>
      </c>
      <c r="L8" s="11">
        <v>0</v>
      </c>
      <c r="M8" s="9" t="s">
        <v>687</v>
      </c>
      <c r="N8" s="13"/>
      <c r="O8" s="5" t="s">
        <v>692</v>
      </c>
      <c r="P8" s="6">
        <v>188</v>
      </c>
      <c r="Q8" s="6">
        <v>13</v>
      </c>
      <c r="R8" s="6">
        <v>0</v>
      </c>
      <c r="S8" s="6">
        <v>0</v>
      </c>
      <c r="T8" s="6">
        <v>12</v>
      </c>
      <c r="U8" s="6">
        <v>0</v>
      </c>
      <c r="V8" s="6">
        <v>0</v>
      </c>
      <c r="W8" s="6">
        <v>0</v>
      </c>
      <c r="X8" s="11">
        <v>0</v>
      </c>
      <c r="Y8" s="9" t="s">
        <v>687</v>
      </c>
    </row>
    <row r="9" ht="42.75" spans="1:25">
      <c r="A9" s="1"/>
      <c r="B9" s="4"/>
      <c r="C9" s="5" t="s">
        <v>693</v>
      </c>
      <c r="D9" s="6">
        <v>180</v>
      </c>
      <c r="E9" s="6">
        <v>20</v>
      </c>
      <c r="F9" s="6">
        <v>0</v>
      </c>
      <c r="G9" s="6">
        <v>0</v>
      </c>
      <c r="H9" s="6">
        <v>17</v>
      </c>
      <c r="I9" s="6">
        <v>0</v>
      </c>
      <c r="J9" s="6">
        <v>0</v>
      </c>
      <c r="K9" s="6">
        <v>0</v>
      </c>
      <c r="L9" s="11">
        <v>0</v>
      </c>
      <c r="M9" s="9" t="s">
        <v>687</v>
      </c>
      <c r="N9" s="13"/>
      <c r="O9" s="5" t="s">
        <v>693</v>
      </c>
      <c r="P9" s="6">
        <v>180</v>
      </c>
      <c r="Q9" s="6">
        <v>20</v>
      </c>
      <c r="R9" s="6">
        <v>0</v>
      </c>
      <c r="S9" s="6">
        <v>0</v>
      </c>
      <c r="T9" s="6">
        <v>17</v>
      </c>
      <c r="U9" s="6">
        <v>0</v>
      </c>
      <c r="V9" s="6">
        <v>0</v>
      </c>
      <c r="W9" s="6">
        <v>0</v>
      </c>
      <c r="X9" s="11">
        <v>0</v>
      </c>
      <c r="Y9" s="9" t="s">
        <v>687</v>
      </c>
    </row>
    <row r="10" ht="17.6" customHeight="1" spans="1:25">
      <c r="A10" s="1"/>
      <c r="B10" s="4"/>
      <c r="C10" s="5" t="s">
        <v>694</v>
      </c>
      <c r="D10" s="6">
        <v>180</v>
      </c>
      <c r="E10" s="6">
        <v>11</v>
      </c>
      <c r="F10" s="6">
        <v>0</v>
      </c>
      <c r="G10" s="6">
        <v>0</v>
      </c>
      <c r="H10" s="6">
        <v>10</v>
      </c>
      <c r="I10" s="6">
        <v>1</v>
      </c>
      <c r="J10" s="6">
        <v>2</v>
      </c>
      <c r="K10" s="6">
        <v>0</v>
      </c>
      <c r="L10" s="11">
        <v>0.2</v>
      </c>
      <c r="M10" s="15"/>
      <c r="N10" s="13"/>
      <c r="O10" s="5" t="s">
        <v>694</v>
      </c>
      <c r="P10" s="6">
        <v>180</v>
      </c>
      <c r="Q10" s="6">
        <v>11</v>
      </c>
      <c r="R10" s="6">
        <v>0</v>
      </c>
      <c r="S10" s="6">
        <v>0</v>
      </c>
      <c r="T10" s="6">
        <v>10</v>
      </c>
      <c r="U10" s="6">
        <v>1</v>
      </c>
      <c r="V10" s="6">
        <v>2</v>
      </c>
      <c r="W10" s="6">
        <v>0</v>
      </c>
      <c r="X10" s="11">
        <v>0.2</v>
      </c>
      <c r="Y10" s="15"/>
    </row>
    <row r="11" spans="1:25">
      <c r="A11" s="1"/>
      <c r="B11" s="8"/>
      <c r="C11" s="9"/>
      <c r="D11" s="6"/>
      <c r="E11" s="6"/>
      <c r="F11" s="6"/>
      <c r="G11" s="6"/>
      <c r="H11" s="6"/>
      <c r="I11" s="6"/>
      <c r="J11" s="6"/>
      <c r="K11" s="6"/>
      <c r="L11" s="11"/>
      <c r="M11" s="15"/>
      <c r="N11" s="13"/>
      <c r="O11" s="9"/>
      <c r="P11" s="6"/>
      <c r="Q11" s="6"/>
      <c r="R11" s="6"/>
      <c r="S11" s="6"/>
      <c r="T11" s="6"/>
      <c r="U11" s="6"/>
      <c r="V11" s="6"/>
      <c r="W11" s="6"/>
      <c r="X11" s="11"/>
      <c r="Y11" s="15"/>
    </row>
  </sheetData>
  <sheetProtection formatCells="0" insertHyperlinks="0" autoFilter="0"/>
  <mergeCells count="37">
    <mergeCell ref="A1:A11"/>
    <mergeCell ref="B1:B11"/>
    <mergeCell ref="C1:C2"/>
    <mergeCell ref="C10:C11"/>
    <mergeCell ref="D10:D11"/>
    <mergeCell ref="E10:E11"/>
    <mergeCell ref="F10:F11"/>
    <mergeCell ref="G10:G11"/>
    <mergeCell ref="H1:H2"/>
    <mergeCell ref="H10:H11"/>
    <mergeCell ref="I1:I2"/>
    <mergeCell ref="I10:I11"/>
    <mergeCell ref="J1:J2"/>
    <mergeCell ref="J10:J11"/>
    <mergeCell ref="K10:K11"/>
    <mergeCell ref="L1:L2"/>
    <mergeCell ref="L10:L11"/>
    <mergeCell ref="M1:M2"/>
    <mergeCell ref="M10:M11"/>
    <mergeCell ref="N1:N11"/>
    <mergeCell ref="O1:O2"/>
    <mergeCell ref="O10:O11"/>
    <mergeCell ref="P10:P11"/>
    <mergeCell ref="Q10:Q11"/>
    <mergeCell ref="R10:R11"/>
    <mergeCell ref="S10:S11"/>
    <mergeCell ref="T1:T2"/>
    <mergeCell ref="T10:T11"/>
    <mergeCell ref="U1:U2"/>
    <mergeCell ref="U10:U11"/>
    <mergeCell ref="V1:V2"/>
    <mergeCell ref="V10:V11"/>
    <mergeCell ref="W10:W11"/>
    <mergeCell ref="X1:X2"/>
    <mergeCell ref="X10:X11"/>
    <mergeCell ref="Y1:Y2"/>
    <mergeCell ref="Y10:Y11"/>
  </mergeCells>
  <hyperlinks>
    <hyperlink ref="M3" r:id="rId1" display="抢第一|待加入计划不存在" tooltip="javascript:void(0)"/>
    <hyperlink ref="M4" r:id="rId1" display="抢第一|待加入计划不存在" tooltip="javascript:void(0)"/>
    <hyperlink ref="M5" r:id="rId1" display="抢第一|待加入计划不存在" tooltip="javascript:void(0)"/>
    <hyperlink ref="M6" r:id="rId1" display="抢第一|待加入计划不存在" tooltip="javascript:void(0)"/>
    <hyperlink ref="M7" r:id="rId1" display="抢第一|待加入计划不存在" tooltip="javascript:void(0)"/>
    <hyperlink ref="M8" r:id="rId1" display="抢第一|待加入计划不存在" tooltip="javascript:void(0)"/>
    <hyperlink ref="M9" r:id="rId1" display="抢第一|待加入计划不存在" tooltip="javascript:void(0)"/>
    <hyperlink ref="Y3" r:id="rId1" display="抢第一|待加入计划不存在" tooltip="javascript:void(0)"/>
    <hyperlink ref="Y4" r:id="rId1" display="抢第一|待加入计划不存在" tooltip="javascript:void(0)"/>
    <hyperlink ref="Y5" r:id="rId1" display="抢第一|待加入计划不存在" tooltip="javascript:void(0)"/>
    <hyperlink ref="Y6" r:id="rId1" display="抢第一|待加入计划不存在" tooltip="javascript:void(0)"/>
    <hyperlink ref="Y7" r:id="rId1" display="抢第一|待加入计划不存在" tooltip="javascript:void(0)"/>
    <hyperlink ref="Y8" r:id="rId1" display="抢第一|待加入计划不存在" tooltip="javascript:void(0)"/>
    <hyperlink ref="Y9" r:id="rId1" display="抢第一|待加入计划不存在" tooltip="javascript:void(0)"/>
  </hyperlinks>
  <pageMargins left="0.75" right="0.75" top="1" bottom="1" header="0.511805555555556" footer="0.511805555555556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</woSheetsProps>
  <woBookProps>
    <bookSettings fileId="EZPSZPYEUMZAWQEW:41512919172641884560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  <pixelatorList sheetStid="5"/>
  <pixelatorList sheetStid="6"/>
  <pixelatorList sheetStid="8"/>
  <pixelatorList sheetStid="7"/>
  <pixelatorList sheetStid="9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WWO_wpscloud_20250424194432-d21c6c7b9b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各类目市场情况</vt:lpstr>
      <vt:lpstr>主营行业情况</vt:lpstr>
      <vt:lpstr>主营市场情况</vt:lpstr>
      <vt:lpstr>关键词类目分布</vt:lpstr>
      <vt:lpstr>具体产品分析</vt:lpstr>
      <vt:lpstr>店铺品类效果数据分析</vt:lpstr>
      <vt:lpstr>竞对产品分析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datang</dc:creator>
  <cp:lastModifiedBy>吃饼干</cp:lastModifiedBy>
  <dcterms:created xsi:type="dcterms:W3CDTF">2022-03-21T22:25:00Z</dcterms:created>
  <dcterms:modified xsi:type="dcterms:W3CDTF">2022-07-24T19:03:00Z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  <property fmtid="{D5CDD505-2E9C-101B-9397-08002B2CF9AE}" pid="3" name="ICV">
    <vt:lpwstr>50E08189702844C6953FB601139D8B0E</vt:lpwstr>
  </property>
</Properties>
</file>